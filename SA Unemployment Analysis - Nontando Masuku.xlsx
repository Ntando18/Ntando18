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findings" sheetId="2" r:id="rId5"/>
    <sheet state="visible" name="EAP" sheetId="3" r:id="rId6"/>
    <sheet state="visible" name="Occupation" sheetId="4" r:id="rId7"/>
  </sheets>
  <definedNames/>
  <calcPr/>
  <extLst>
    <ext uri="GoogleSheetsCustomDataVersion2">
      <go:sheetsCustomData xmlns:go="http://customooxmlschemas.google.com/" r:id="rId8" roundtripDataChecksum="VwAHOOoOmTBg0NiJf6EAyCGF6YNQlqX+AOdKXW4WGRE="/>
    </ext>
  </extLst>
</workbook>
</file>

<file path=xl/sharedStrings.xml><?xml version="1.0" encoding="utf-8"?>
<sst xmlns="http://schemas.openxmlformats.org/spreadsheetml/2006/main" count="191" uniqueCount="69">
  <si>
    <t>Province</t>
  </si>
  <si>
    <t>Employed(thousands)</t>
  </si>
  <si>
    <t>Unemployed (Thousands)</t>
  </si>
  <si>
    <t>NEA (Thousands)</t>
  </si>
  <si>
    <t>Unemployment Rate %</t>
  </si>
  <si>
    <t xml:space="preserve">Western Cape </t>
  </si>
  <si>
    <t>Northern Cape</t>
  </si>
  <si>
    <t>Eastern Cape</t>
  </si>
  <si>
    <t>Free State</t>
  </si>
  <si>
    <t>Kwa-Zulu Natal</t>
  </si>
  <si>
    <t>North West</t>
  </si>
  <si>
    <t>Gauteng</t>
  </si>
  <si>
    <t>Mpumalanga</t>
  </si>
  <si>
    <t>Limpopo</t>
  </si>
  <si>
    <t>South Africa Average</t>
  </si>
  <si>
    <t>National Summary</t>
  </si>
  <si>
    <t>Column 1</t>
  </si>
  <si>
    <t>Employed</t>
  </si>
  <si>
    <t>Unemployed</t>
  </si>
  <si>
    <t>NEA</t>
  </si>
  <si>
    <t>Unemployment Rate%</t>
  </si>
  <si>
    <t xml:space="preserve">Northen Cape </t>
  </si>
  <si>
    <t>western Cape</t>
  </si>
  <si>
    <t>mpumalanga</t>
  </si>
  <si>
    <t>limpopo</t>
  </si>
  <si>
    <t>SA Unemployment Analysis — Q4 2025 Analyst: Nontando Masuku Data Source: Statistics South Africa (Stats SA) — Quarterly Labour Force Survey Q4 2025</t>
  </si>
  <si>
    <t>Key Findings:</t>
  </si>
  <si>
    <t>1. National Unemployment Rate South Africa's national average unemployment rate stands at approximately 29% as of Q4 2025, meaning nearly 1 in 3 economically active South Africans is without a job.</t>
  </si>
  <si>
    <t>2. Eastern Cape Has the Highest Unemployment The Eastern Cape recorded the highest unemployment rate at 43%, significantly above the national average. This suggests a critical need for job creation and economic investment in this province.</t>
  </si>
  <si>
    <t>3. Western Cape Performs Best The Western Cape recorded the lowest unemployment rate at 18.7%, nearly half that of the Eastern Cape. This highlights a significant economic inequality between provinces.</t>
  </si>
  <si>
    <t>4. Over a Third of South Africans Are Not Economically Active The national labour force breakdown shows 35.3% of the population is Not Economically Active (NEA) — meaning they are not working and not looking for work. This includes students, caregivers and discouraged workers.</t>
  </si>
  <si>
    <t>5. Provincial Inequality Is a Major Concern The 24 percentage point gap between the highest and lowest unemployment provinces reveals deep structural inequality across South Africa that requires targeted policy intervention.</t>
  </si>
  <si>
    <t>Labour force characterstics by province, population group and sex (15-64 Years), Quarter 4 2025</t>
  </si>
  <si>
    <t>Population group</t>
  </si>
  <si>
    <t>Male</t>
  </si>
  <si>
    <t>Female</t>
  </si>
  <si>
    <t>Total</t>
  </si>
  <si>
    <t>Economically active</t>
  </si>
  <si>
    <t>Thousand</t>
  </si>
  <si>
    <t>South Africa</t>
  </si>
  <si>
    <t>Black African</t>
  </si>
  <si>
    <t>Coloured</t>
  </si>
  <si>
    <t>Indian/ Asian</t>
  </si>
  <si>
    <t>White</t>
  </si>
  <si>
    <t>Western cape</t>
  </si>
  <si>
    <t>KwaZulu-Natal</t>
  </si>
  <si>
    <t>For all values of 10 000 or lower the sample size is too small for reliable estimates.</t>
  </si>
  <si>
    <t>Due to rounding, numbers do not necessarily add up to totals.</t>
  </si>
  <si>
    <t>NEA = Not Economically Active</t>
  </si>
  <si>
    <t>Source: Quarterly Labour Force Survey</t>
  </si>
  <si>
    <t>Employed by population group, sex and occupation (15-64yrs)</t>
  </si>
  <si>
    <t>Indian/Asian</t>
  </si>
  <si>
    <t>Per cent</t>
  </si>
  <si>
    <t>Both sexes</t>
  </si>
  <si>
    <t>Manager</t>
  </si>
  <si>
    <t>Professional</t>
  </si>
  <si>
    <t>Technician</t>
  </si>
  <si>
    <t>Clerk</t>
  </si>
  <si>
    <t>Sales and services</t>
  </si>
  <si>
    <t>Skilled agriculture</t>
  </si>
  <si>
    <t>Craft and related trade</t>
  </si>
  <si>
    <t>Plant and machine operator</t>
  </si>
  <si>
    <t>Elementary</t>
  </si>
  <si>
    <t>Domestic worker</t>
  </si>
  <si>
    <t>Other</t>
  </si>
  <si>
    <t>Men</t>
  </si>
  <si>
    <t>Women</t>
  </si>
  <si>
    <t>For all values of 10 000 or lower the sample size is too small for reliable estimates</t>
  </si>
  <si>
    <t>Due to rounding, numbers do not necessarily add up to totals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</si>
</sst>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#,##0.0"/>
  </numFmts>
  <fonts count="17">
    <font>
      <sz val="11.0"/>
      <color theme="1"/>
      <name val="Calibri"/>
      <scheme val="minor"/>
    </font>
    <font>
      <b/>
      <color theme="1"/>
      <name val="Lora"/>
    </font>
    <font>
      <b/>
      <color theme="1"/>
      <name val="Calibri"/>
      <scheme val="minor"/>
    </font>
    <font>
      <color theme="1"/>
      <name val="Calibri"/>
      <scheme val="minor"/>
    </font>
    <font>
      <b/>
      <sz val="14.0"/>
      <color rgb="FF3C78D8"/>
      <name val="Lora"/>
    </font>
    <font>
      <b/>
      <sz val="12.0"/>
      <color rgb="FF6D9EEB"/>
      <name val="Lora"/>
    </font>
    <font>
      <sz val="11.0"/>
      <color theme="1"/>
      <name val="Lora"/>
    </font>
    <font>
      <sz val="12.0"/>
      <color theme="1"/>
      <name val="Lora"/>
    </font>
    <font>
      <b/>
      <sz val="12.0"/>
      <color theme="1"/>
      <name val="Arial"/>
    </font>
    <font>
      <sz val="10.0"/>
      <color theme="1"/>
      <name val="Arial"/>
    </font>
    <font>
      <sz val="9.0"/>
      <color theme="1"/>
      <name val="Arial"/>
    </font>
    <font>
      <b/>
      <sz val="10.0"/>
      <color theme="1"/>
      <name val="Arial"/>
    </font>
    <font>
      <b/>
      <sz val="11.0"/>
      <color theme="1"/>
      <name val="Arial"/>
    </font>
    <font/>
    <font>
      <b/>
      <sz val="9.0"/>
      <color theme="1"/>
      <name val="Arial"/>
    </font>
    <font>
      <sz val="8.0"/>
      <color theme="1"/>
      <name val="Arial"/>
    </font>
    <font>
      <i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009F"/>
        <bgColor rgb="FFFF009F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2" fontId="2" numFmtId="0" xfId="0" applyFill="1" applyFont="1"/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3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" xfId="0" applyAlignment="1" applyFont="1" applyNumberFormat="1">
      <alignment shrinkToFit="0" vertical="center" wrapText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3" fontId="4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Font="1"/>
    <xf borderId="0" fillId="0" fontId="8" numFmtId="0" xfId="0" applyFont="1"/>
    <xf borderId="0" fillId="0" fontId="9" numFmtId="0" xfId="0" applyFont="1"/>
    <xf borderId="0" fillId="0" fontId="10" numFmtId="0" xfId="0" applyFont="1"/>
    <xf borderId="1" fillId="0" fontId="11" numFmtId="0" xfId="0" applyAlignment="1" applyBorder="1" applyFont="1">
      <alignment horizontal="left"/>
    </xf>
    <xf borderId="2" fillId="0" fontId="12" numFmtId="0" xfId="0" applyAlignment="1" applyBorder="1" applyFont="1">
      <alignment horizontal="center"/>
    </xf>
    <xf borderId="3" fillId="0" fontId="13" numFmtId="0" xfId="0" applyBorder="1" applyFont="1"/>
    <xf borderId="4" fillId="0" fontId="13" numFmtId="0" xfId="0" applyBorder="1" applyFont="1"/>
    <xf borderId="5" fillId="0" fontId="13" numFmtId="0" xfId="0" applyBorder="1" applyFont="1"/>
    <xf borderId="1" fillId="0" fontId="11" numFmtId="0" xfId="0" applyAlignment="1" applyBorder="1" applyFont="1">
      <alignment horizontal="center"/>
    </xf>
    <xf borderId="1" fillId="0" fontId="11" numFmtId="0" xfId="0" applyAlignment="1" applyBorder="1" applyFont="1">
      <alignment horizontal="center" shrinkToFit="0" wrapText="1"/>
    </xf>
    <xf borderId="2" fillId="0" fontId="11" numFmtId="0" xfId="0" applyAlignment="1" applyBorder="1" applyFont="1">
      <alignment horizontal="center"/>
    </xf>
    <xf borderId="6" fillId="0" fontId="13" numFmtId="0" xfId="0" applyBorder="1" applyFont="1"/>
    <xf borderId="7" fillId="0" fontId="11" numFmtId="0" xfId="0" applyAlignment="1" applyBorder="1" applyFont="1">
      <alignment horizontal="center"/>
    </xf>
    <xf borderId="7" fillId="0" fontId="9" numFmtId="0" xfId="0" applyBorder="1" applyFont="1"/>
    <xf borderId="7" fillId="0" fontId="11" numFmtId="0" xfId="0" applyAlignment="1" applyBorder="1" applyFont="1">
      <alignment horizontal="left"/>
    </xf>
    <xf borderId="7" fillId="0" fontId="9" numFmtId="3" xfId="0" applyBorder="1" applyFont="1" applyNumberFormat="1"/>
    <xf borderId="0" fillId="0" fontId="10" numFmtId="164" xfId="0" applyFont="1" applyNumberFormat="1"/>
    <xf borderId="7" fillId="0" fontId="11" numFmtId="0" xfId="0" applyBorder="1" applyFont="1"/>
    <xf borderId="7" fillId="0" fontId="11" numFmtId="3" xfId="0" applyBorder="1" applyFont="1" applyNumberFormat="1"/>
    <xf borderId="0" fillId="0" fontId="14" numFmtId="0" xfId="0" applyFont="1"/>
    <xf borderId="7" fillId="0" fontId="10" numFmtId="0" xfId="0" applyBorder="1" applyFont="1"/>
    <xf borderId="5" fillId="0" fontId="15" numFmtId="0" xfId="0" applyBorder="1" applyFont="1"/>
    <xf borderId="0" fillId="0" fontId="11" numFmtId="0" xfId="0" applyFont="1"/>
    <xf borderId="0" fillId="0" fontId="16" numFmtId="0" xfId="0" applyFont="1"/>
    <xf borderId="0" fillId="0" fontId="12" numFmtId="0" xfId="0" applyFont="1"/>
    <xf borderId="1" fillId="0" fontId="9" numFmtId="0" xfId="0" applyAlignment="1" applyBorder="1" applyFont="1">
      <alignment horizontal="center"/>
    </xf>
    <xf borderId="7" fillId="0" fontId="9" numFmtId="0" xfId="0" applyAlignment="1" applyBorder="1" applyFont="1">
      <alignment horizontal="center"/>
    </xf>
    <xf borderId="7" fillId="0" fontId="11" numFmtId="165" xfId="0" applyBorder="1" applyFont="1" applyNumberFormat="1"/>
    <xf borderId="7" fillId="0" fontId="9" numFmtId="165" xfId="0" applyBorder="1" applyFont="1" applyNumberFormat="1"/>
    <xf borderId="0" fillId="0" fontId="11" numFmtId="164" xfId="0" applyFont="1" applyNumberFormat="1"/>
    <xf borderId="7" fillId="0" fontId="9" numFmtId="0" xfId="0" applyAlignment="1" applyBorder="1" applyFont="1">
      <alignment horizontal="left"/>
    </xf>
    <xf borderId="0" fillId="0" fontId="15" numFmtId="0" xfId="0" applyFont="1"/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6D9EEB"/>
          <bgColor rgb="FF6D9EEB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EAD1DC"/>
          <bgColor rgb="FFEAD1DC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6D9EEB"/>
        </left>
        <right style="thin">
          <color rgb="FF6D9EEB"/>
        </right>
        <top style="thin">
          <color rgb="FF6D9EEB"/>
        </top>
        <bottom style="thin">
          <color rgb="FF6D9EEB"/>
        </bottom>
      </border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2">
    <tableStyle count="5" pivot="0" name="summary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4" pivot="0" name="summary-style 2">
      <tableStyleElement dxfId="6" type="headerRow"/>
      <tableStyleElement dxfId="7" type="firstRowStripe"/>
      <tableStyleElement dxfId="4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serif"/>
              </a:defRPr>
            </a:pPr>
            <a:r>
              <a:rPr b="1">
                <a:solidFill>
                  <a:schemeClr val="dk1"/>
                </a:solidFill>
                <a:latin typeface="serif"/>
              </a:rPr>
              <a:t>Unemployment Rate by Province — Q4 2025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summary!$E$1</c:f>
            </c:strRef>
          </c:tx>
          <c:spPr>
            <a:solidFill>
              <a:srgbClr val="FF009F"/>
            </a:solidFill>
            <a:ln cmpd="sng">
              <a:solidFill>
                <a:srgbClr val="FF009F">
                  <a:alpha val="100000"/>
                </a:srgbClr>
              </a:solidFill>
            </a:ln>
          </c:spPr>
          <c:cat>
            <c:strRef>
              <c:f>summary!$A$2:$A$10</c:f>
            </c:strRef>
          </c:cat>
          <c:val>
            <c:numRef>
              <c:f>summary!$E$2:$E$10</c:f>
              <c:numCache/>
            </c:numRef>
          </c:val>
        </c:ser>
        <c:axId val="944533259"/>
        <c:axId val="530967956"/>
      </c:bar3DChart>
      <c:catAx>
        <c:axId val="94453325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>Province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</a:p>
        </c:txPr>
        <c:crossAx val="530967956"/>
      </c:catAx>
      <c:valAx>
        <c:axId val="53096795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>Unemployment Rate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</a:p>
        </c:txPr>
        <c:crossAx val="944533259"/>
        <c:crosses val="max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FF009F"/>
              </a:solidFill>
              <a:latin typeface="serif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serif"/>
              </a:defRPr>
            </a:pPr>
            <a:r>
              <a:rPr b="1">
                <a:solidFill>
                  <a:srgbClr val="000000"/>
                </a:solidFill>
                <a:latin typeface="serif"/>
              </a:rPr>
              <a:t>SA Labour Force Breakdown — Q4 2025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F009F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D5A6BD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EAD1DC"/>
              </a:solidFill>
              <a:ln cmpd="sng" w="9525">
                <a:solidFill>
                  <a:srgbClr val="000000"/>
                </a:solidFill>
              </a:ln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summary!$A$13:$A$16</c:f>
            </c:strRef>
          </c:cat>
          <c:val>
            <c:numRef>
              <c:f>summary!$B$13:$B$16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1">
              <a:solidFill>
                <a:schemeClr val="dk1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Highest vs Lowest Unemployment Provinces — Q4 2025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summary!$B$20</c:f>
            </c:strRef>
          </c:tx>
          <c:spPr>
            <a:solidFill>
              <a:srgbClr val="FF009F"/>
            </a:solidFill>
            <a:ln cmpd="sng">
              <a:solidFill>
                <a:srgbClr val="000000">
                  <a:alpha val="100000"/>
                </a:srgbClr>
              </a:solidFill>
            </a:ln>
          </c:spPr>
          <c:cat>
            <c:strRef>
              <c:f>summary!$A$21:$A$25</c:f>
            </c:strRef>
          </c:cat>
          <c:val>
            <c:numRef>
              <c:f>summary!$B$21:$B$25</c:f>
              <c:numCache/>
            </c:numRef>
          </c:val>
        </c:ser>
        <c:axId val="1815734256"/>
        <c:axId val="1112728586"/>
      </c:barChart>
      <c:catAx>
        <c:axId val="1815734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Province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</a:p>
        </c:txPr>
        <c:crossAx val="1112728586"/>
      </c:catAx>
      <c:valAx>
        <c:axId val="11127285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Unemployment Rate%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</a:p>
        </c:txPr>
        <c:crossAx val="1815734256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serif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685800</xdr:colOff>
      <xdr:row>1</xdr:row>
      <xdr:rowOff>0</xdr:rowOff>
    </xdr:from>
    <xdr:ext cx="3895725" cy="2981325"/>
    <xdr:graphicFrame>
      <xdr:nvGraphicFramePr>
        <xdr:cNvPr id="1964386089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762000</xdr:colOff>
      <xdr:row>13</xdr:row>
      <xdr:rowOff>85725</xdr:rowOff>
    </xdr:from>
    <xdr:ext cx="3733800" cy="2800350"/>
    <xdr:graphicFrame>
      <xdr:nvGraphicFramePr>
        <xdr:cNvPr id="1742603855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123825</xdr:colOff>
      <xdr:row>11</xdr:row>
      <xdr:rowOff>171450</xdr:rowOff>
    </xdr:from>
    <xdr:ext cx="5715000" cy="3667125"/>
    <xdr:graphicFrame>
      <xdr:nvGraphicFramePr>
        <xdr:cNvPr id="360809460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totalsRowCount="1" ref="A1:E11" displayName="Table1" name="Table1" id="1">
  <tableColumns count="5">
    <tableColumn totalsRowLabel="South Africa Average" name="Province" id="1"/>
    <tableColumn name="Employed(thousands)" id="2"/>
    <tableColumn name="Unemployed (Thousands)" id="3"/>
    <tableColumn name="NEA (Thousands)" id="4"/>
    <tableColumn totalsRowFunction="custom" name="Unemployment Rate %" id="5"/>
  </tableColumns>
  <tableStyleInfo name="summary-style" showColumnStripes="0" showFirstColumn="1" showLastColumn="1" showRowStripes="1"/>
</table>
</file>

<file path=xl/tables/table2.xml><?xml version="1.0" encoding="utf-8"?>
<table xmlns="http://schemas.openxmlformats.org/spreadsheetml/2006/main" ref="A13:B16" displayName="Table2" name="Table2" id="2">
  <tableColumns count="2">
    <tableColumn name="National Summary" id="1"/>
    <tableColumn name="Column 1" id="2"/>
  </tableColumns>
  <tableStyleInfo name="summary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14"/>
    <col customWidth="1" min="2" max="2" width="26.86"/>
    <col customWidth="1" min="3" max="3" width="30.43"/>
    <col customWidth="1" min="4" max="4" width="22.86"/>
    <col customWidth="1" min="5" max="5" width="31.14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2.5" customHeight="1">
      <c r="A2" s="4" t="s">
        <v>5</v>
      </c>
      <c r="B2" s="4">
        <v>1588.0</v>
      </c>
      <c r="C2" s="4">
        <v>366.0</v>
      </c>
      <c r="D2" s="4">
        <v>615.0</v>
      </c>
      <c r="E2" s="5">
        <f t="shared" ref="E2:E10" si="1">C2/(B2+C2)*100</f>
        <v>18.7308086</v>
      </c>
    </row>
    <row r="3" ht="22.5" customHeight="1">
      <c r="A3" s="4" t="s">
        <v>6</v>
      </c>
      <c r="B3" s="4">
        <v>199.0</v>
      </c>
      <c r="C3" s="4">
        <v>66.0</v>
      </c>
      <c r="D3" s="4">
        <v>158.0</v>
      </c>
      <c r="E3" s="5">
        <f t="shared" si="1"/>
        <v>24.90566038</v>
      </c>
    </row>
    <row r="4" ht="22.5" customHeight="1">
      <c r="A4" s="4" t="s">
        <v>7</v>
      </c>
      <c r="B4" s="4">
        <v>715.0</v>
      </c>
      <c r="C4" s="4">
        <v>544.0</v>
      </c>
      <c r="D4" s="6">
        <v>1007.0</v>
      </c>
      <c r="E4" s="5">
        <f t="shared" si="1"/>
        <v>43.20889595</v>
      </c>
    </row>
    <row r="5" ht="22.5" customHeight="1">
      <c r="A5" s="4" t="s">
        <v>8</v>
      </c>
      <c r="B5" s="4">
        <v>455.0</v>
      </c>
      <c r="C5" s="4">
        <v>238.0</v>
      </c>
      <c r="D5" s="4">
        <v>281.0</v>
      </c>
      <c r="E5" s="5">
        <f t="shared" si="1"/>
        <v>34.34343434</v>
      </c>
    </row>
    <row r="6" ht="22.5" customHeight="1">
      <c r="A6" s="4" t="s">
        <v>9</v>
      </c>
      <c r="B6" s="4">
        <v>1492.0</v>
      </c>
      <c r="C6" s="4">
        <v>583.0</v>
      </c>
      <c r="D6" s="4">
        <v>1688.0</v>
      </c>
      <c r="E6" s="5">
        <f t="shared" si="1"/>
        <v>28.09638554</v>
      </c>
    </row>
    <row r="7" ht="22.5" customHeight="1">
      <c r="A7" s="4" t="s">
        <v>10</v>
      </c>
      <c r="B7" s="4">
        <v>588.0</v>
      </c>
      <c r="C7" s="4">
        <v>269.0</v>
      </c>
      <c r="D7" s="4">
        <v>565.0</v>
      </c>
      <c r="E7" s="5">
        <f t="shared" si="1"/>
        <v>31.38856476</v>
      </c>
    </row>
    <row r="8" ht="22.5" customHeight="1">
      <c r="A8" s="4" t="s">
        <v>11</v>
      </c>
      <c r="B8" s="4">
        <v>2976.0</v>
      </c>
      <c r="C8" s="4">
        <v>1258.0</v>
      </c>
      <c r="D8" s="4">
        <v>1688.0</v>
      </c>
      <c r="E8" s="5">
        <f t="shared" si="1"/>
        <v>29.7118564</v>
      </c>
    </row>
    <row r="9" ht="22.5" customHeight="1">
      <c r="A9" s="4" t="s">
        <v>12</v>
      </c>
      <c r="B9" s="4">
        <v>759.0</v>
      </c>
      <c r="C9" s="4">
        <v>295.0</v>
      </c>
      <c r="D9" s="4">
        <v>547.0</v>
      </c>
      <c r="E9" s="5">
        <f t="shared" si="1"/>
        <v>27.9886148</v>
      </c>
    </row>
    <row r="10" ht="22.5" customHeight="1">
      <c r="A10" s="4" t="s">
        <v>13</v>
      </c>
      <c r="B10" s="4">
        <v>866.0</v>
      </c>
      <c r="C10" s="4">
        <v>297.0</v>
      </c>
      <c r="D10" s="4">
        <v>845.0</v>
      </c>
      <c r="E10" s="5">
        <f t="shared" si="1"/>
        <v>25.53740327</v>
      </c>
    </row>
    <row r="11" ht="22.5" customHeight="1">
      <c r="A11" s="4" t="s">
        <v>14</v>
      </c>
      <c r="B11" s="7"/>
      <c r="C11" s="7"/>
      <c r="D11" s="7"/>
      <c r="E11" s="8">
        <f>AVERAGE(E2:E10)</f>
        <v>29.32351378</v>
      </c>
    </row>
    <row r="12">
      <c r="A12" s="9"/>
      <c r="B12" s="10"/>
    </row>
    <row r="13" ht="22.5" customHeight="1">
      <c r="A13" s="11" t="s">
        <v>15</v>
      </c>
      <c r="B13" s="12" t="s">
        <v>16</v>
      </c>
    </row>
    <row r="14" ht="22.5" customHeight="1">
      <c r="A14" s="13" t="s">
        <v>17</v>
      </c>
      <c r="B14" s="14">
        <f>SUM(B2:B10)</f>
        <v>9638</v>
      </c>
    </row>
    <row r="15" ht="22.5" customHeight="1">
      <c r="A15" s="13" t="s">
        <v>18</v>
      </c>
      <c r="B15" s="14">
        <f>SUM(C2:C10)</f>
        <v>3916</v>
      </c>
    </row>
    <row r="16" ht="22.5" customHeight="1">
      <c r="A16" s="13" t="s">
        <v>19</v>
      </c>
      <c r="B16" s="14">
        <f>SUM(D2:D10)</f>
        <v>7394</v>
      </c>
    </row>
    <row r="19">
      <c r="A19" s="9" t="s">
        <v>0</v>
      </c>
      <c r="B19" s="9" t="s">
        <v>20</v>
      </c>
    </row>
    <row r="20">
      <c r="A20" s="9" t="s">
        <v>4</v>
      </c>
    </row>
    <row r="21">
      <c r="A21" s="9" t="s">
        <v>7</v>
      </c>
      <c r="B21" s="9">
        <v>43.2</v>
      </c>
    </row>
    <row r="22">
      <c r="A22" s="9" t="s">
        <v>21</v>
      </c>
      <c r="B22" s="9">
        <v>24.9</v>
      </c>
    </row>
    <row r="23">
      <c r="A23" s="9" t="s">
        <v>22</v>
      </c>
      <c r="B23" s="9">
        <v>18.7</v>
      </c>
    </row>
    <row r="24">
      <c r="A24" s="9" t="s">
        <v>23</v>
      </c>
      <c r="B24" s="9">
        <v>28.0</v>
      </c>
    </row>
    <row r="25">
      <c r="A25" s="9" t="s">
        <v>24</v>
      </c>
      <c r="B25" s="9">
        <v>25.5</v>
      </c>
    </row>
  </sheetData>
  <dataValidations>
    <dataValidation type="custom" allowBlank="1" showDropDown="1" sqref="E2:E10">
      <formula1>AND(ISNUMBER(E2),(NOT(OR(NOT(ISERROR(DATEVALUE(E2))), AND(ISNUMBER(E2), LEFT(CELL("format", E2))="D")))))</formula1>
    </dataValidation>
  </dataValidations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0.71"/>
  </cols>
  <sheetData>
    <row r="1">
      <c r="A1" s="15" t="s">
        <v>25</v>
      </c>
    </row>
    <row r="3">
      <c r="A3" s="16" t="s">
        <v>26</v>
      </c>
    </row>
    <row r="5">
      <c r="A5" s="17" t="s">
        <v>27</v>
      </c>
    </row>
    <row r="7">
      <c r="A7" s="17" t="s">
        <v>28</v>
      </c>
    </row>
    <row r="9">
      <c r="A9" s="17" t="s">
        <v>29</v>
      </c>
    </row>
    <row r="11">
      <c r="A11" s="17" t="s">
        <v>30</v>
      </c>
    </row>
    <row r="12">
      <c r="A12" s="18"/>
    </row>
    <row r="13">
      <c r="A13" s="17" t="s">
        <v>31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43"/>
    <col customWidth="1" min="2" max="3" width="9.86"/>
    <col customWidth="1" min="4" max="4" width="9.29"/>
    <col customWidth="1" min="5" max="5" width="10.0"/>
    <col customWidth="1" min="6" max="6" width="11.86"/>
    <col customWidth="1" min="7" max="10" width="9.86"/>
    <col customWidth="1" min="11" max="11" width="11.86"/>
    <col customWidth="1" min="12" max="14" width="9.86"/>
    <col customWidth="1" min="15" max="15" width="10.0"/>
    <col customWidth="1" min="16" max="16" width="11.86"/>
    <col customWidth="1" min="17" max="26" width="9.14"/>
  </cols>
  <sheetData>
    <row r="1" ht="12.0" customHeight="1">
      <c r="A1" s="19" t="s">
        <v>32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ht="12.0" customHeight="1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ht="21.0" customHeight="1">
      <c r="A3" s="22" t="s">
        <v>33</v>
      </c>
      <c r="B3" s="23" t="s">
        <v>34</v>
      </c>
      <c r="C3" s="24"/>
      <c r="D3" s="24"/>
      <c r="E3" s="24"/>
      <c r="F3" s="25"/>
      <c r="G3" s="23" t="s">
        <v>35</v>
      </c>
      <c r="H3" s="24"/>
      <c r="I3" s="24"/>
      <c r="J3" s="24"/>
      <c r="K3" s="25"/>
      <c r="L3" s="23" t="s">
        <v>36</v>
      </c>
      <c r="M3" s="24"/>
      <c r="N3" s="24"/>
      <c r="O3" s="24"/>
      <c r="P3" s="25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ht="16.5" customHeight="1">
      <c r="A4" s="26"/>
      <c r="B4" s="27" t="s">
        <v>36</v>
      </c>
      <c r="C4" s="28" t="s">
        <v>19</v>
      </c>
      <c r="D4" s="29" t="s">
        <v>37</v>
      </c>
      <c r="E4" s="24"/>
      <c r="F4" s="25"/>
      <c r="G4" s="27" t="s">
        <v>36</v>
      </c>
      <c r="H4" s="27" t="s">
        <v>19</v>
      </c>
      <c r="I4" s="29" t="s">
        <v>37</v>
      </c>
      <c r="J4" s="24"/>
      <c r="K4" s="25"/>
      <c r="L4" s="27" t="s">
        <v>36</v>
      </c>
      <c r="M4" s="27" t="s">
        <v>19</v>
      </c>
      <c r="N4" s="29" t="s">
        <v>37</v>
      </c>
      <c r="O4" s="24"/>
      <c r="P4" s="25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ht="15.75" customHeight="1">
      <c r="A5" s="26"/>
      <c r="B5" s="30"/>
      <c r="C5" s="30"/>
      <c r="D5" s="31" t="s">
        <v>36</v>
      </c>
      <c r="E5" s="31" t="s">
        <v>17</v>
      </c>
      <c r="F5" s="31" t="s">
        <v>18</v>
      </c>
      <c r="G5" s="30"/>
      <c r="H5" s="30"/>
      <c r="I5" s="31" t="s">
        <v>36</v>
      </c>
      <c r="J5" s="31" t="s">
        <v>17</v>
      </c>
      <c r="K5" s="31" t="s">
        <v>18</v>
      </c>
      <c r="L5" s="30"/>
      <c r="M5" s="30"/>
      <c r="N5" s="31" t="s">
        <v>36</v>
      </c>
      <c r="O5" s="31" t="s">
        <v>17</v>
      </c>
      <c r="P5" s="31" t="s">
        <v>18</v>
      </c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15.0" customHeight="1">
      <c r="A6" s="30"/>
      <c r="B6" s="31" t="s">
        <v>38</v>
      </c>
      <c r="C6" s="31" t="s">
        <v>38</v>
      </c>
      <c r="D6" s="31" t="s">
        <v>38</v>
      </c>
      <c r="E6" s="31" t="s">
        <v>38</v>
      </c>
      <c r="F6" s="31" t="s">
        <v>38</v>
      </c>
      <c r="G6" s="31" t="s">
        <v>38</v>
      </c>
      <c r="H6" s="31" t="s">
        <v>38</v>
      </c>
      <c r="I6" s="31" t="s">
        <v>38</v>
      </c>
      <c r="J6" s="31" t="s">
        <v>38</v>
      </c>
      <c r="K6" s="31" t="s">
        <v>38</v>
      </c>
      <c r="L6" s="31" t="s">
        <v>38</v>
      </c>
      <c r="M6" s="31" t="s">
        <v>38</v>
      </c>
      <c r="N6" s="31" t="s">
        <v>38</v>
      </c>
      <c r="O6" s="31" t="s">
        <v>38</v>
      </c>
      <c r="P6" s="31" t="s">
        <v>38</v>
      </c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12.0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ht="12.0" customHeight="1">
      <c r="A8" s="33" t="s">
        <v>39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12.0" customHeight="1">
      <c r="A9" s="32" t="s">
        <v>40</v>
      </c>
      <c r="B9" s="34">
        <v>17228.96130761066</v>
      </c>
      <c r="C9" s="34">
        <v>6344.758848726834</v>
      </c>
      <c r="D9" s="34">
        <v>10884.20245888381</v>
      </c>
      <c r="E9" s="34">
        <v>7388.73872549516</v>
      </c>
      <c r="F9" s="34">
        <v>3495.4637333886512</v>
      </c>
      <c r="G9" s="34">
        <v>17426.592242821906</v>
      </c>
      <c r="H9" s="34">
        <v>8131.597956322965</v>
      </c>
      <c r="I9" s="34">
        <v>9294.994286498923</v>
      </c>
      <c r="J9" s="34">
        <v>5669.725376296442</v>
      </c>
      <c r="K9" s="34">
        <v>3625.2689102024806</v>
      </c>
      <c r="L9" s="34">
        <v>34655.553550432596</v>
      </c>
      <c r="M9" s="34">
        <v>14476.356805049798</v>
      </c>
      <c r="N9" s="34">
        <v>20179.19674538276</v>
      </c>
      <c r="O9" s="34">
        <v>13058.464101791624</v>
      </c>
      <c r="P9" s="34">
        <v>7120.732643591138</v>
      </c>
      <c r="Q9" s="35"/>
      <c r="R9" s="21"/>
      <c r="S9" s="21"/>
      <c r="T9" s="21"/>
      <c r="U9" s="21"/>
      <c r="V9" s="21"/>
      <c r="W9" s="21"/>
      <c r="X9" s="21"/>
      <c r="Y9" s="21"/>
      <c r="Z9" s="21"/>
    </row>
    <row r="10" ht="12.0" customHeight="1">
      <c r="A10" s="32" t="s">
        <v>41</v>
      </c>
      <c r="B10" s="34">
        <v>1766.3226219123246</v>
      </c>
      <c r="C10" s="34">
        <v>556.2294192530187</v>
      </c>
      <c r="D10" s="34">
        <v>1210.0932026593064</v>
      </c>
      <c r="E10" s="34">
        <v>941.3091179601777</v>
      </c>
      <c r="F10" s="34">
        <v>268.7840846991287</v>
      </c>
      <c r="G10" s="34">
        <v>1866.2999238944215</v>
      </c>
      <c r="H10" s="34">
        <v>861.5556737149068</v>
      </c>
      <c r="I10" s="34">
        <v>1004.7442501795174</v>
      </c>
      <c r="J10" s="34">
        <v>804.5229925187772</v>
      </c>
      <c r="K10" s="34">
        <v>200.22125766074015</v>
      </c>
      <c r="L10" s="34">
        <v>3632.6225458067565</v>
      </c>
      <c r="M10" s="34">
        <v>1417.785092967925</v>
      </c>
      <c r="N10" s="34">
        <v>2214.837452838823</v>
      </c>
      <c r="O10" s="34">
        <v>1745.832110478954</v>
      </c>
      <c r="P10" s="34">
        <v>469.00534235986896</v>
      </c>
      <c r="Q10" s="35"/>
      <c r="R10" s="21"/>
      <c r="S10" s="21"/>
      <c r="T10" s="21"/>
      <c r="U10" s="21"/>
      <c r="V10" s="21"/>
      <c r="W10" s="21"/>
      <c r="X10" s="21"/>
      <c r="Y10" s="21"/>
      <c r="Z10" s="21"/>
    </row>
    <row r="11" ht="12.0" customHeight="1">
      <c r="A11" s="32" t="s">
        <v>42</v>
      </c>
      <c r="B11" s="34">
        <v>558.8464384336979</v>
      </c>
      <c r="C11" s="34">
        <v>180.50925256331578</v>
      </c>
      <c r="D11" s="34">
        <v>378.3371858703824</v>
      </c>
      <c r="E11" s="34">
        <v>337.88119967477337</v>
      </c>
      <c r="F11" s="34">
        <v>40.45598619560908</v>
      </c>
      <c r="G11" s="34">
        <v>506.7104570453431</v>
      </c>
      <c r="H11" s="34">
        <v>264.6083402000596</v>
      </c>
      <c r="I11" s="34">
        <v>242.1021168452835</v>
      </c>
      <c r="J11" s="34">
        <v>191.59925237170307</v>
      </c>
      <c r="K11" s="34">
        <v>50.50286447358041</v>
      </c>
      <c r="L11" s="34">
        <v>1065.5568954790413</v>
      </c>
      <c r="M11" s="34">
        <v>445.11759276337546</v>
      </c>
      <c r="N11" s="34">
        <v>620.4393027156656</v>
      </c>
      <c r="O11" s="34">
        <v>529.4804520464761</v>
      </c>
      <c r="P11" s="34">
        <v>90.95885066918949</v>
      </c>
      <c r="Q11" s="35"/>
      <c r="R11" s="21"/>
      <c r="S11" s="21"/>
      <c r="T11" s="21"/>
      <c r="U11" s="21"/>
      <c r="V11" s="21"/>
      <c r="W11" s="21"/>
      <c r="X11" s="21"/>
      <c r="Y11" s="21"/>
      <c r="Z11" s="21"/>
    </row>
    <row r="12" ht="12.0" customHeight="1">
      <c r="A12" s="32" t="s">
        <v>43</v>
      </c>
      <c r="B12" s="34">
        <v>1356.1357378745308</v>
      </c>
      <c r="C12" s="34">
        <v>313.15031668632975</v>
      </c>
      <c r="D12" s="34">
        <v>1042.985421188201</v>
      </c>
      <c r="E12" s="34">
        <v>960.7210812750119</v>
      </c>
      <c r="F12" s="34">
        <v>82.26433991318893</v>
      </c>
      <c r="G12" s="34">
        <v>1358.554209720482</v>
      </c>
      <c r="H12" s="34">
        <v>481.38292438725864</v>
      </c>
      <c r="I12" s="34">
        <v>877.1712853332245</v>
      </c>
      <c r="J12" s="34">
        <v>804.4103643873135</v>
      </c>
      <c r="K12" s="34">
        <v>72.76092094591107</v>
      </c>
      <c r="L12" s="34">
        <v>2714.689947595014</v>
      </c>
      <c r="M12" s="34">
        <v>794.5332410735881</v>
      </c>
      <c r="N12" s="34">
        <v>1920.1567065214238</v>
      </c>
      <c r="O12" s="34">
        <v>1765.1314456623238</v>
      </c>
      <c r="P12" s="34">
        <v>155.02526085909997</v>
      </c>
      <c r="Q12" s="35"/>
      <c r="R12" s="21"/>
      <c r="S12" s="21"/>
      <c r="T12" s="21"/>
      <c r="U12" s="21"/>
      <c r="V12" s="21"/>
      <c r="W12" s="21"/>
      <c r="X12" s="21"/>
      <c r="Y12" s="21"/>
      <c r="Z12" s="21"/>
    </row>
    <row r="13" ht="12.0" customHeight="1">
      <c r="A13" s="36" t="s">
        <v>36</v>
      </c>
      <c r="B13" s="37">
        <v>20910.26610583121</v>
      </c>
      <c r="C13" s="37">
        <v>7394.647837229486</v>
      </c>
      <c r="D13" s="37">
        <v>13515.618268601676</v>
      </c>
      <c r="E13" s="37">
        <v>9628.650124405094</v>
      </c>
      <c r="F13" s="37">
        <v>3886.9681441965813</v>
      </c>
      <c r="G13" s="37">
        <v>21158.156833482153</v>
      </c>
      <c r="H13" s="37">
        <v>9739.144894625197</v>
      </c>
      <c r="I13" s="37">
        <v>11419.011938856966</v>
      </c>
      <c r="J13" s="37">
        <v>7470.257985574249</v>
      </c>
      <c r="K13" s="37">
        <v>3948.753953282716</v>
      </c>
      <c r="L13" s="37">
        <v>42068.422939313416</v>
      </c>
      <c r="M13" s="37">
        <v>17133.792731854686</v>
      </c>
      <c r="N13" s="37">
        <v>24934.63020745867</v>
      </c>
      <c r="O13" s="37">
        <v>17098.908109979377</v>
      </c>
      <c r="P13" s="37">
        <v>7835.722097479296</v>
      </c>
      <c r="Q13" s="35"/>
      <c r="R13" s="38"/>
      <c r="S13" s="38"/>
      <c r="T13" s="38"/>
      <c r="U13" s="38"/>
      <c r="V13" s="38"/>
      <c r="W13" s="38"/>
      <c r="X13" s="38"/>
      <c r="Y13" s="38"/>
      <c r="Z13" s="38"/>
    </row>
    <row r="14" ht="12.0" customHeight="1">
      <c r="A14" s="32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ht="12.0" customHeight="1">
      <c r="A15" s="33" t="s">
        <v>44</v>
      </c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ht="12.0" customHeight="1">
      <c r="A16" s="32" t="s">
        <v>40</v>
      </c>
      <c r="B16" s="34">
        <v>974.1514131436433</v>
      </c>
      <c r="C16" s="34">
        <v>181.5684108126599</v>
      </c>
      <c r="D16" s="34">
        <v>792.5830023309845</v>
      </c>
      <c r="E16" s="34">
        <v>621.7525340204352</v>
      </c>
      <c r="F16" s="34">
        <v>170.8304683105494</v>
      </c>
      <c r="G16" s="34">
        <v>995.0781358511703</v>
      </c>
      <c r="H16" s="34">
        <v>322.68053165690174</v>
      </c>
      <c r="I16" s="34">
        <v>672.3976041942692</v>
      </c>
      <c r="J16" s="34">
        <v>479.35252263104894</v>
      </c>
      <c r="K16" s="34">
        <v>193.0450815632202</v>
      </c>
      <c r="L16" s="34">
        <v>1969.229548994816</v>
      </c>
      <c r="M16" s="34">
        <v>504.24894246956114</v>
      </c>
      <c r="N16" s="34">
        <v>1464.9806065252533</v>
      </c>
      <c r="O16" s="34">
        <v>1101.1050566514837</v>
      </c>
      <c r="P16" s="34">
        <v>363.87554987376956</v>
      </c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t="12.0" customHeight="1">
      <c r="A17" s="32" t="s">
        <v>41</v>
      </c>
      <c r="B17" s="34">
        <v>1170.2375576220554</v>
      </c>
      <c r="C17" s="34">
        <v>347.3078074603486</v>
      </c>
      <c r="D17" s="34">
        <v>822.9297501617064</v>
      </c>
      <c r="E17" s="34">
        <v>676.5436510404394</v>
      </c>
      <c r="F17" s="34">
        <v>146.38609912126697</v>
      </c>
      <c r="G17" s="34">
        <v>1241.9753394133015</v>
      </c>
      <c r="H17" s="34">
        <v>554.3409747383788</v>
      </c>
      <c r="I17" s="34">
        <v>687.6343646749251</v>
      </c>
      <c r="J17" s="34">
        <v>586.1516772348211</v>
      </c>
      <c r="K17" s="34">
        <v>101.48268744010396</v>
      </c>
      <c r="L17" s="34">
        <v>2412.212897035368</v>
      </c>
      <c r="M17" s="34">
        <v>901.6487821987268</v>
      </c>
      <c r="N17" s="34">
        <v>1510.564114836632</v>
      </c>
      <c r="O17" s="34">
        <v>1262.6953282752609</v>
      </c>
      <c r="P17" s="34">
        <v>247.86878656137105</v>
      </c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ht="12.0" customHeight="1">
      <c r="A18" s="32" t="s">
        <v>42</v>
      </c>
      <c r="B18" s="34">
        <v>31.966200174041994</v>
      </c>
      <c r="C18" s="34">
        <v>6.138953752724623</v>
      </c>
      <c r="D18" s="34">
        <v>25.82724642131737</v>
      </c>
      <c r="E18" s="34">
        <v>25.82724642131737</v>
      </c>
      <c r="F18" s="34"/>
      <c r="G18" s="34">
        <v>24.577749851720682</v>
      </c>
      <c r="H18" s="34">
        <v>8.400600942883573</v>
      </c>
      <c r="I18" s="34">
        <v>16.177148908837108</v>
      </c>
      <c r="J18" s="34">
        <v>16.177148908837108</v>
      </c>
      <c r="K18" s="34"/>
      <c r="L18" s="34">
        <v>56.54395002576268</v>
      </c>
      <c r="M18" s="34">
        <v>14.539554695608196</v>
      </c>
      <c r="N18" s="34">
        <v>42.00439533015449</v>
      </c>
      <c r="O18" s="34">
        <v>42.00439533015449</v>
      </c>
      <c r="P18" s="34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ht="12.0" customHeight="1">
      <c r="A19" s="32" t="s">
        <v>43</v>
      </c>
      <c r="B19" s="34">
        <v>362.27273590888484</v>
      </c>
      <c r="C19" s="34">
        <v>79.84495896491453</v>
      </c>
      <c r="D19" s="34">
        <v>282.4277769439702</v>
      </c>
      <c r="E19" s="34">
        <v>263.5819995271788</v>
      </c>
      <c r="F19" s="34">
        <v>18.845777416791332</v>
      </c>
      <c r="G19" s="34">
        <v>359.6745358592189</v>
      </c>
      <c r="H19" s="34">
        <v>111.43598211540385</v>
      </c>
      <c r="I19" s="34">
        <v>248.2385537438151</v>
      </c>
      <c r="J19" s="34">
        <v>237.62872827498566</v>
      </c>
      <c r="K19" s="34">
        <v>10.60982546882943</v>
      </c>
      <c r="L19" s="34">
        <v>721.9472717681041</v>
      </c>
      <c r="M19" s="34">
        <v>191.2809410803184</v>
      </c>
      <c r="N19" s="34">
        <v>530.6663306877848</v>
      </c>
      <c r="O19" s="34">
        <v>501.210727802164</v>
      </c>
      <c r="P19" s="34">
        <v>29.45560288562076</v>
      </c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ht="12.75" customHeight="1">
      <c r="A20" s="36" t="s">
        <v>36</v>
      </c>
      <c r="B20" s="37">
        <v>2538.6279068486256</v>
      </c>
      <c r="C20" s="37">
        <v>614.8601309906483</v>
      </c>
      <c r="D20" s="37">
        <v>1923.7677758579798</v>
      </c>
      <c r="E20" s="37">
        <v>1587.7054310093718</v>
      </c>
      <c r="F20" s="37">
        <v>336.0623448486082</v>
      </c>
      <c r="G20" s="37">
        <v>2621.3057609754114</v>
      </c>
      <c r="H20" s="37">
        <v>996.8580894535679</v>
      </c>
      <c r="I20" s="37">
        <v>1624.447671521844</v>
      </c>
      <c r="J20" s="37">
        <v>1319.3100770496903</v>
      </c>
      <c r="K20" s="37">
        <v>305.1375944721538</v>
      </c>
      <c r="L20" s="37">
        <v>5159.93366782405</v>
      </c>
      <c r="M20" s="37">
        <v>1611.7182204442145</v>
      </c>
      <c r="N20" s="37">
        <v>3548.2154473798246</v>
      </c>
      <c r="O20" s="37">
        <v>2907.015508059063</v>
      </c>
      <c r="P20" s="37">
        <v>641.1999393207615</v>
      </c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ht="12.0" customHeight="1">
      <c r="A21" s="32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12.0" customHeight="1">
      <c r="A22" s="33" t="s">
        <v>7</v>
      </c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2.0" customHeight="1">
      <c r="A23" s="32" t="s">
        <v>40</v>
      </c>
      <c r="B23" s="34">
        <v>1956.8158806052752</v>
      </c>
      <c r="C23" s="34">
        <v>903.8658083811546</v>
      </c>
      <c r="D23" s="34">
        <v>1052.950072224122</v>
      </c>
      <c r="E23" s="34">
        <v>545.2244673815368</v>
      </c>
      <c r="F23" s="34">
        <v>507.7256048425853</v>
      </c>
      <c r="G23" s="34">
        <v>2017.7955212221607</v>
      </c>
      <c r="H23" s="34">
        <v>1068.1372282266839</v>
      </c>
      <c r="I23" s="34">
        <v>949.658292995479</v>
      </c>
      <c r="J23" s="34">
        <v>512.1760562820498</v>
      </c>
      <c r="K23" s="34">
        <v>437.4822367134292</v>
      </c>
      <c r="L23" s="34">
        <v>3974.611401827449</v>
      </c>
      <c r="M23" s="34">
        <v>1972.003036607836</v>
      </c>
      <c r="N23" s="34">
        <v>2002.6083652196014</v>
      </c>
      <c r="O23" s="34">
        <v>1057.4005236635874</v>
      </c>
      <c r="P23" s="34">
        <v>945.207841556014</v>
      </c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2.0" customHeight="1">
      <c r="A24" s="32" t="s">
        <v>41</v>
      </c>
      <c r="B24" s="34">
        <v>187.30951013352797</v>
      </c>
      <c r="C24" s="34">
        <v>74.40098094067754</v>
      </c>
      <c r="D24" s="34">
        <v>112.90852919285038</v>
      </c>
      <c r="E24" s="34">
        <v>84.41058645367475</v>
      </c>
      <c r="F24" s="34">
        <v>28.49794273917562</v>
      </c>
      <c r="G24" s="34">
        <v>208.84971581506034</v>
      </c>
      <c r="H24" s="34">
        <v>103.28229688708443</v>
      </c>
      <c r="I24" s="34">
        <v>105.5674189279759</v>
      </c>
      <c r="J24" s="34">
        <v>79.53709056398968</v>
      </c>
      <c r="K24" s="34">
        <v>26.03032836398621</v>
      </c>
      <c r="L24" s="34">
        <v>396.1592259485886</v>
      </c>
      <c r="M24" s="34">
        <v>177.68327782776194</v>
      </c>
      <c r="N24" s="34">
        <v>218.47594812082627</v>
      </c>
      <c r="O24" s="34">
        <v>163.94767701766443</v>
      </c>
      <c r="P24" s="34">
        <v>54.528271103161856</v>
      </c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2.0" customHeight="1">
      <c r="A25" s="32" t="s">
        <v>42</v>
      </c>
      <c r="B25" s="34">
        <v>8.874245247196907</v>
      </c>
      <c r="C25" s="34">
        <v>5.4688352171874826</v>
      </c>
      <c r="D25" s="34">
        <v>3.405410030009424</v>
      </c>
      <c r="E25" s="34">
        <v>2.700060290817723</v>
      </c>
      <c r="F25" s="34">
        <v>0.705349739191701</v>
      </c>
      <c r="G25" s="34">
        <v>7.282570405041031</v>
      </c>
      <c r="H25" s="34">
        <v>2.8986141813391804</v>
      </c>
      <c r="I25" s="34">
        <v>4.38395622370185</v>
      </c>
      <c r="J25" s="34">
        <v>3.1108935185822943</v>
      </c>
      <c r="K25" s="34">
        <v>1.2730627051195558</v>
      </c>
      <c r="L25" s="34">
        <v>16.15681565223794</v>
      </c>
      <c r="M25" s="34">
        <v>8.367449398526663</v>
      </c>
      <c r="N25" s="34">
        <v>7.789366253711274</v>
      </c>
      <c r="O25" s="34">
        <v>5.810953809400017</v>
      </c>
      <c r="P25" s="34">
        <v>1.9784124443112567</v>
      </c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2.0" customHeight="1">
      <c r="A26" s="32" t="s">
        <v>43</v>
      </c>
      <c r="B26" s="34">
        <v>113.48257199020546</v>
      </c>
      <c r="C26" s="34">
        <v>23.38466210020543</v>
      </c>
      <c r="D26" s="34">
        <v>90.09790989000003</v>
      </c>
      <c r="E26" s="34">
        <v>83.14843395966832</v>
      </c>
      <c r="F26" s="34">
        <v>6.9494759303316975</v>
      </c>
      <c r="G26" s="34">
        <v>128.75119382074368</v>
      </c>
      <c r="H26" s="34">
        <v>54.4408733816251</v>
      </c>
      <c r="I26" s="34">
        <v>74.31032043911857</v>
      </c>
      <c r="J26" s="34">
        <v>66.50637486295584</v>
      </c>
      <c r="K26" s="34">
        <v>7.803945576162735</v>
      </c>
      <c r="L26" s="34">
        <v>242.23376581094934</v>
      </c>
      <c r="M26" s="34">
        <v>77.8255354818305</v>
      </c>
      <c r="N26" s="34">
        <v>164.40823032911868</v>
      </c>
      <c r="O26" s="34">
        <v>149.65480882262426</v>
      </c>
      <c r="P26" s="34">
        <v>14.753421506494432</v>
      </c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2.0" customHeight="1">
      <c r="A27" s="36" t="s">
        <v>36</v>
      </c>
      <c r="B27" s="37">
        <v>2266.4822079762057</v>
      </c>
      <c r="C27" s="37">
        <v>1007.1202866392243</v>
      </c>
      <c r="D27" s="37">
        <v>1259.3619213369818</v>
      </c>
      <c r="E27" s="37">
        <v>715.4835480856974</v>
      </c>
      <c r="F27" s="37">
        <v>543.8783732512844</v>
      </c>
      <c r="G27" s="37">
        <v>2362.6790012630054</v>
      </c>
      <c r="H27" s="37">
        <v>1228.7590126767313</v>
      </c>
      <c r="I27" s="37">
        <v>1133.9199885862745</v>
      </c>
      <c r="J27" s="37">
        <v>661.3304152275769</v>
      </c>
      <c r="K27" s="37">
        <v>472.58957335869763</v>
      </c>
      <c r="L27" s="37">
        <v>4629.161209239224</v>
      </c>
      <c r="M27" s="37">
        <v>2235.8792993159554</v>
      </c>
      <c r="N27" s="37">
        <v>2393.281909923258</v>
      </c>
      <c r="O27" s="37">
        <v>1376.8139633132762</v>
      </c>
      <c r="P27" s="37">
        <v>1016.4679466099816</v>
      </c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ht="12.0" customHeight="1">
      <c r="A28" s="32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2.0" customHeight="1">
      <c r="A29" s="33" t="s">
        <v>6</v>
      </c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12.0" customHeight="1">
      <c r="A30" s="32" t="s">
        <v>40</v>
      </c>
      <c r="B30" s="34">
        <v>255.17636070678293</v>
      </c>
      <c r="C30" s="34">
        <v>101.90438053098474</v>
      </c>
      <c r="D30" s="34">
        <v>153.27198017579803</v>
      </c>
      <c r="E30" s="34">
        <v>112.99746607722098</v>
      </c>
      <c r="F30" s="34">
        <v>40.27451409857706</v>
      </c>
      <c r="G30" s="34">
        <v>248.41368786274757</v>
      </c>
      <c r="H30" s="34">
        <v>123.97608751534005</v>
      </c>
      <c r="I30" s="34">
        <v>124.43760034740743</v>
      </c>
      <c r="J30" s="34">
        <v>84.45441427542191</v>
      </c>
      <c r="K30" s="34">
        <v>39.983186071985514</v>
      </c>
      <c r="L30" s="34">
        <v>503.5900485695307</v>
      </c>
      <c r="M30" s="34">
        <v>225.88046804632498</v>
      </c>
      <c r="N30" s="34">
        <v>277.70958052320543</v>
      </c>
      <c r="O30" s="34">
        <v>197.45188035264292</v>
      </c>
      <c r="P30" s="34">
        <v>80.25770017056253</v>
      </c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2.0" customHeight="1">
      <c r="A31" s="32" t="s">
        <v>41</v>
      </c>
      <c r="B31" s="34">
        <v>150.44534948927148</v>
      </c>
      <c r="C31" s="34">
        <v>53.449830344881505</v>
      </c>
      <c r="D31" s="34">
        <v>96.99551914438999</v>
      </c>
      <c r="E31" s="34">
        <v>71.55562441989744</v>
      </c>
      <c r="F31" s="34">
        <v>25.43989472449254</v>
      </c>
      <c r="G31" s="34">
        <v>161.72210409672576</v>
      </c>
      <c r="H31" s="34">
        <v>97.4656223302413</v>
      </c>
      <c r="I31" s="34">
        <v>64.25648176648446</v>
      </c>
      <c r="J31" s="34">
        <v>45.42412993351681</v>
      </c>
      <c r="K31" s="34">
        <v>18.832351832967646</v>
      </c>
      <c r="L31" s="34">
        <v>312.16745358599707</v>
      </c>
      <c r="M31" s="34">
        <v>150.91545267512276</v>
      </c>
      <c r="N31" s="34">
        <v>161.25200091087436</v>
      </c>
      <c r="O31" s="34">
        <v>116.9797543534142</v>
      </c>
      <c r="P31" s="34">
        <v>44.27224655746018</v>
      </c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12.0" customHeight="1">
      <c r="A32" s="32" t="s">
        <v>42</v>
      </c>
      <c r="B32" s="34">
        <v>4.9496063824343155</v>
      </c>
      <c r="C32" s="34"/>
      <c r="D32" s="34">
        <v>4.9496063824343155</v>
      </c>
      <c r="E32" s="34">
        <v>4.9496063824343155</v>
      </c>
      <c r="F32" s="34"/>
      <c r="G32" s="34">
        <v>2.8724162076533064</v>
      </c>
      <c r="H32" s="34">
        <v>0.6641456411256833</v>
      </c>
      <c r="I32" s="34">
        <v>2.208270566527623</v>
      </c>
      <c r="J32" s="34">
        <v>2.208270566527623</v>
      </c>
      <c r="K32" s="34"/>
      <c r="L32" s="34">
        <v>7.822022590087622</v>
      </c>
      <c r="M32" s="34">
        <v>0.6641456411256833</v>
      </c>
      <c r="N32" s="34">
        <v>7.157876948961938</v>
      </c>
      <c r="O32" s="34">
        <v>7.157876948961938</v>
      </c>
      <c r="P32" s="34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2.0" customHeight="1">
      <c r="A33" s="32" t="s">
        <v>43</v>
      </c>
      <c r="B33" s="34">
        <v>12.84669377402484</v>
      </c>
      <c r="C33" s="34">
        <v>2.6786852289317054</v>
      </c>
      <c r="D33" s="34">
        <v>10.168008545093135</v>
      </c>
      <c r="E33" s="34">
        <v>9.639957044808217</v>
      </c>
      <c r="F33" s="34">
        <v>0.5280515002849192</v>
      </c>
      <c r="G33" s="34">
        <v>12.480355586208395</v>
      </c>
      <c r="H33" s="34">
        <v>6.813760132425482</v>
      </c>
      <c r="I33" s="34">
        <v>5.666595453782913</v>
      </c>
      <c r="J33" s="34">
        <v>5.666595453782913</v>
      </c>
      <c r="K33" s="34"/>
      <c r="L33" s="34">
        <v>25.32704936023324</v>
      </c>
      <c r="M33" s="34">
        <v>9.492445361357188</v>
      </c>
      <c r="N33" s="34">
        <v>15.834603998876048</v>
      </c>
      <c r="O33" s="34">
        <v>15.30655249859113</v>
      </c>
      <c r="P33" s="34">
        <v>0.5280515002849192</v>
      </c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2.0" customHeight="1">
      <c r="A34" s="36" t="s">
        <v>36</v>
      </c>
      <c r="B34" s="37">
        <v>423.4180103525136</v>
      </c>
      <c r="C34" s="37">
        <v>158.03289610479797</v>
      </c>
      <c r="D34" s="37">
        <v>265.3851142477155</v>
      </c>
      <c r="E34" s="37">
        <v>199.14265392436096</v>
      </c>
      <c r="F34" s="37">
        <v>66.24246032335454</v>
      </c>
      <c r="G34" s="37">
        <v>425.48856375333503</v>
      </c>
      <c r="H34" s="37">
        <v>228.91961561913277</v>
      </c>
      <c r="I34" s="37">
        <v>196.5689481342024</v>
      </c>
      <c r="J34" s="37">
        <v>137.75341022924923</v>
      </c>
      <c r="K34" s="37">
        <v>58.81553790495317</v>
      </c>
      <c r="L34" s="37">
        <v>848.9065741058487</v>
      </c>
      <c r="M34" s="37">
        <v>386.95251172393057</v>
      </c>
      <c r="N34" s="37">
        <v>461.9540623819178</v>
      </c>
      <c r="O34" s="37">
        <v>336.8960641536102</v>
      </c>
      <c r="P34" s="37">
        <v>125.05799822830762</v>
      </c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ht="12.0" customHeight="1">
      <c r="A35" s="32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2.0" customHeight="1">
      <c r="A36" s="33" t="s">
        <v>8</v>
      </c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2.0" customHeight="1">
      <c r="A37" s="32" t="s">
        <v>40</v>
      </c>
      <c r="B37" s="34">
        <v>881.8631605503815</v>
      </c>
      <c r="C37" s="34">
        <v>262.8829832078148</v>
      </c>
      <c r="D37" s="34">
        <v>618.9801773425668</v>
      </c>
      <c r="E37" s="34">
        <v>390.9522171625224</v>
      </c>
      <c r="F37" s="34">
        <v>228.0279601800444</v>
      </c>
      <c r="G37" s="34">
        <v>887.6447783633178</v>
      </c>
      <c r="H37" s="34">
        <v>389.12170441621697</v>
      </c>
      <c r="I37" s="34">
        <v>498.5230739471025</v>
      </c>
      <c r="J37" s="34">
        <v>288.55782151906726</v>
      </c>
      <c r="K37" s="34">
        <v>209.9652524280352</v>
      </c>
      <c r="L37" s="34">
        <v>1769.5079389136995</v>
      </c>
      <c r="M37" s="34">
        <v>652.0046876240301</v>
      </c>
      <c r="N37" s="34">
        <v>1117.5032512896694</v>
      </c>
      <c r="O37" s="34">
        <v>679.5100386815894</v>
      </c>
      <c r="P37" s="34">
        <v>437.99321260808</v>
      </c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2.0" customHeight="1">
      <c r="A38" s="32" t="s">
        <v>41</v>
      </c>
      <c r="B38" s="34">
        <v>17.439090886203353</v>
      </c>
      <c r="C38" s="34">
        <v>3.083405128293479</v>
      </c>
      <c r="D38" s="34">
        <v>14.355685757909875</v>
      </c>
      <c r="E38" s="34">
        <v>7.724878933397998</v>
      </c>
      <c r="F38" s="34">
        <v>6.630806824511877</v>
      </c>
      <c r="G38" s="34">
        <v>21.676103236141103</v>
      </c>
      <c r="H38" s="34">
        <v>11.758535217563441</v>
      </c>
      <c r="I38" s="34">
        <v>9.91756801857766</v>
      </c>
      <c r="J38" s="34">
        <v>3.313971449799674</v>
      </c>
      <c r="K38" s="34">
        <v>6.603596568777986</v>
      </c>
      <c r="L38" s="34">
        <v>39.115194122344455</v>
      </c>
      <c r="M38" s="34">
        <v>14.841940345856923</v>
      </c>
      <c r="N38" s="34">
        <v>24.273253776487532</v>
      </c>
      <c r="O38" s="34">
        <v>11.038850383197671</v>
      </c>
      <c r="P38" s="34">
        <v>13.234403393289861</v>
      </c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12.0" customHeight="1">
      <c r="A39" s="32" t="s">
        <v>42</v>
      </c>
      <c r="B39" s="34">
        <v>7.921770067912685</v>
      </c>
      <c r="C39" s="34">
        <v>1.8208553752702645</v>
      </c>
      <c r="D39" s="34">
        <v>6.10091469264242</v>
      </c>
      <c r="E39" s="34">
        <v>6.10091469264242</v>
      </c>
      <c r="F39" s="34"/>
      <c r="G39" s="34">
        <v>4.943211304368844</v>
      </c>
      <c r="H39" s="34">
        <v>3.6771033723803797</v>
      </c>
      <c r="I39" s="34">
        <v>1.2661079319884636</v>
      </c>
      <c r="J39" s="34">
        <v>1.2661079319884636</v>
      </c>
      <c r="K39" s="34"/>
      <c r="L39" s="34">
        <v>12.864981372281528</v>
      </c>
      <c r="M39" s="34">
        <v>5.497958747650644</v>
      </c>
      <c r="N39" s="34">
        <v>7.367022624630884</v>
      </c>
      <c r="O39" s="34">
        <v>7.367022624630884</v>
      </c>
      <c r="P39" s="34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12.0" customHeight="1">
      <c r="A40" s="32" t="s">
        <v>43</v>
      </c>
      <c r="B40" s="34">
        <v>57.63982138213198</v>
      </c>
      <c r="C40" s="34">
        <v>13.651589021743833</v>
      </c>
      <c r="D40" s="34">
        <v>43.98823236038816</v>
      </c>
      <c r="E40" s="34">
        <v>40.49507674518553</v>
      </c>
      <c r="F40" s="34">
        <v>3.4931556152026313</v>
      </c>
      <c r="G40" s="34">
        <v>64.88507929312205</v>
      </c>
      <c r="H40" s="34">
        <v>30.590731978964406</v>
      </c>
      <c r="I40" s="34">
        <v>34.29434731415766</v>
      </c>
      <c r="J40" s="34">
        <v>32.713171238297335</v>
      </c>
      <c r="K40" s="34">
        <v>1.5811760758603244</v>
      </c>
      <c r="L40" s="34">
        <v>122.52490067525405</v>
      </c>
      <c r="M40" s="34">
        <v>44.24232100070823</v>
      </c>
      <c r="N40" s="34">
        <v>78.28257967454579</v>
      </c>
      <c r="O40" s="34">
        <v>73.20824798348283</v>
      </c>
      <c r="P40" s="34">
        <v>5.074331691062955</v>
      </c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12.0" customHeight="1">
      <c r="A41" s="36" t="s">
        <v>36</v>
      </c>
      <c r="B41" s="37">
        <v>964.8638428866295</v>
      </c>
      <c r="C41" s="37">
        <v>281.43883273312247</v>
      </c>
      <c r="D41" s="37">
        <v>683.4250101535071</v>
      </c>
      <c r="E41" s="37">
        <v>445.2730875337482</v>
      </c>
      <c r="F41" s="37">
        <v>238.1519226197589</v>
      </c>
      <c r="G41" s="37">
        <v>979.1491721969497</v>
      </c>
      <c r="H41" s="37">
        <v>435.1480749851253</v>
      </c>
      <c r="I41" s="37">
        <v>544.0010972118263</v>
      </c>
      <c r="J41" s="37">
        <v>325.8510721391528</v>
      </c>
      <c r="K41" s="37">
        <v>218.15002507267351</v>
      </c>
      <c r="L41" s="37">
        <v>1944.0130150835796</v>
      </c>
      <c r="M41" s="37">
        <v>716.5869077182458</v>
      </c>
      <c r="N41" s="37">
        <v>1227.4261073653336</v>
      </c>
      <c r="O41" s="37">
        <v>771.1241596729008</v>
      </c>
      <c r="P41" s="37">
        <v>456.30194769243286</v>
      </c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ht="12.0" customHeight="1">
      <c r="A42" s="32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12.0" customHeight="1">
      <c r="A43" s="33" t="s">
        <v>45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12.0" customHeight="1">
      <c r="A44" s="32" t="s">
        <v>40</v>
      </c>
      <c r="B44" s="34">
        <v>3408.5873608504508</v>
      </c>
      <c r="C44" s="34">
        <v>1566.4278325596954</v>
      </c>
      <c r="D44" s="34">
        <v>1842.1595282907579</v>
      </c>
      <c r="E44" s="34">
        <v>1291.9666050476317</v>
      </c>
      <c r="F44" s="34">
        <v>550.1929232431261</v>
      </c>
      <c r="G44" s="34">
        <v>3664.274000921389</v>
      </c>
      <c r="H44" s="34">
        <v>1890.5630886465115</v>
      </c>
      <c r="I44" s="34">
        <v>1773.710912274882</v>
      </c>
      <c r="J44" s="34">
        <v>1085.9592070796898</v>
      </c>
      <c r="K44" s="34">
        <v>687.7517051951921</v>
      </c>
      <c r="L44" s="34">
        <v>7072.86136177188</v>
      </c>
      <c r="M44" s="34">
        <v>3456.9909212062007</v>
      </c>
      <c r="N44" s="34">
        <v>3615.8704405656417</v>
      </c>
      <c r="O44" s="34">
        <v>2377.925812127324</v>
      </c>
      <c r="P44" s="34">
        <v>1237.9446284383173</v>
      </c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12.0" customHeight="1">
      <c r="A45" s="32" t="s">
        <v>41</v>
      </c>
      <c r="B45" s="34">
        <v>38.087868612282286</v>
      </c>
      <c r="C45" s="34">
        <v>12.992310383834893</v>
      </c>
      <c r="D45" s="34">
        <v>25.095558228447395</v>
      </c>
      <c r="E45" s="34">
        <v>14.912241405518618</v>
      </c>
      <c r="F45" s="34">
        <v>10.183316822928777</v>
      </c>
      <c r="G45" s="34">
        <v>36.07107942721298</v>
      </c>
      <c r="H45" s="34">
        <v>19.334115143460313</v>
      </c>
      <c r="I45" s="34">
        <v>16.736964283752656</v>
      </c>
      <c r="J45" s="34">
        <v>12.264794563124827</v>
      </c>
      <c r="K45" s="34">
        <v>4.472169720627829</v>
      </c>
      <c r="L45" s="34">
        <v>74.15894803949523</v>
      </c>
      <c r="M45" s="34">
        <v>32.32642552729522</v>
      </c>
      <c r="N45" s="34">
        <v>41.83252251220006</v>
      </c>
      <c r="O45" s="34">
        <v>27.177035968643448</v>
      </c>
      <c r="P45" s="34">
        <v>14.655486543556606</v>
      </c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12.0" customHeight="1">
      <c r="A46" s="32" t="s">
        <v>42</v>
      </c>
      <c r="B46" s="34">
        <v>232.33013668155104</v>
      </c>
      <c r="C46" s="34">
        <v>81.4709320568829</v>
      </c>
      <c r="D46" s="34">
        <v>150.85920462466817</v>
      </c>
      <c r="E46" s="34">
        <v>132.50026448549625</v>
      </c>
      <c r="F46" s="34">
        <v>18.35894013917191</v>
      </c>
      <c r="G46" s="34">
        <v>247.15405747784976</v>
      </c>
      <c r="H46" s="34">
        <v>138.28634153188324</v>
      </c>
      <c r="I46" s="34">
        <v>108.86771594596645</v>
      </c>
      <c r="J46" s="34">
        <v>91.13572216742268</v>
      </c>
      <c r="K46" s="34">
        <v>17.731993778543764</v>
      </c>
      <c r="L46" s="34">
        <v>479.4841941594012</v>
      </c>
      <c r="M46" s="34">
        <v>219.75727358876622</v>
      </c>
      <c r="N46" s="34">
        <v>259.72692057063466</v>
      </c>
      <c r="O46" s="34">
        <v>223.63598665291897</v>
      </c>
      <c r="P46" s="34">
        <v>36.090933917715674</v>
      </c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12.0" customHeight="1">
      <c r="A47" s="32" t="s">
        <v>43</v>
      </c>
      <c r="B47" s="34">
        <v>84.12157714933426</v>
      </c>
      <c r="C47" s="34">
        <v>27.056756063628015</v>
      </c>
      <c r="D47" s="34">
        <v>57.06482108570625</v>
      </c>
      <c r="E47" s="34">
        <v>52.33711411147392</v>
      </c>
      <c r="F47" s="34">
        <v>4.727706974232326</v>
      </c>
      <c r="G47" s="34">
        <v>68.40873288579445</v>
      </c>
      <c r="H47" s="34">
        <v>32.933215726339114</v>
      </c>
      <c r="I47" s="34">
        <v>35.47551715945536</v>
      </c>
      <c r="J47" s="34">
        <v>34.66165320090075</v>
      </c>
      <c r="K47" s="34">
        <v>0.8138639585546031</v>
      </c>
      <c r="L47" s="34">
        <v>152.53031003512876</v>
      </c>
      <c r="M47" s="34">
        <v>59.98997178996712</v>
      </c>
      <c r="N47" s="34">
        <v>92.54033824516159</v>
      </c>
      <c r="O47" s="34">
        <v>86.99876731237467</v>
      </c>
      <c r="P47" s="34">
        <v>5.54157093278693</v>
      </c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12.0" customHeight="1">
      <c r="A48" s="36" t="s">
        <v>36</v>
      </c>
      <c r="B48" s="37">
        <v>3763.1269432936188</v>
      </c>
      <c r="C48" s="37">
        <v>1687.9478310640409</v>
      </c>
      <c r="D48" s="37">
        <v>2075.17911222958</v>
      </c>
      <c r="E48" s="37">
        <v>1491.7162250501206</v>
      </c>
      <c r="F48" s="37">
        <v>583.4628871794591</v>
      </c>
      <c r="G48" s="37">
        <v>4015.907870712246</v>
      </c>
      <c r="H48" s="37">
        <v>2081.116761048193</v>
      </c>
      <c r="I48" s="37">
        <v>1934.7911096640555</v>
      </c>
      <c r="J48" s="37">
        <v>1224.0213770111372</v>
      </c>
      <c r="K48" s="37">
        <v>710.7697326529183</v>
      </c>
      <c r="L48" s="37">
        <v>7779.034814005905</v>
      </c>
      <c r="M48" s="37">
        <v>3769.064592112229</v>
      </c>
      <c r="N48" s="37">
        <v>4009.970221893638</v>
      </c>
      <c r="O48" s="37">
        <v>2715.7376020612614</v>
      </c>
      <c r="P48" s="37">
        <v>1294.2326198323765</v>
      </c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ht="12.0" customHeight="1">
      <c r="A49" s="32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12.0" customHeight="1">
      <c r="A50" s="33" t="s">
        <v>10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12.0" customHeight="1">
      <c r="A51" s="32" t="s">
        <v>40</v>
      </c>
      <c r="B51" s="34">
        <v>1329.8575486138718</v>
      </c>
      <c r="C51" s="34">
        <v>541.280793927148</v>
      </c>
      <c r="D51" s="34">
        <v>788.576754686724</v>
      </c>
      <c r="E51" s="34">
        <v>532.595825207813</v>
      </c>
      <c r="F51" s="34">
        <v>255.980929478911</v>
      </c>
      <c r="G51" s="34">
        <v>1348.273224273998</v>
      </c>
      <c r="H51" s="34">
        <v>758.2834944124882</v>
      </c>
      <c r="I51" s="34">
        <v>589.9897298615109</v>
      </c>
      <c r="J51" s="34">
        <v>341.9156755508519</v>
      </c>
      <c r="K51" s="34">
        <v>248.07405431065902</v>
      </c>
      <c r="L51" s="34">
        <v>2678.130772887872</v>
      </c>
      <c r="M51" s="34">
        <v>1299.5642883396365</v>
      </c>
      <c r="N51" s="34">
        <v>1378.5664845482347</v>
      </c>
      <c r="O51" s="34">
        <v>874.5115007586654</v>
      </c>
      <c r="P51" s="34">
        <v>504.0549837895693</v>
      </c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12.0" customHeight="1">
      <c r="A52" s="32" t="s">
        <v>41</v>
      </c>
      <c r="B52" s="34">
        <v>35.09206742214522</v>
      </c>
      <c r="C52" s="34">
        <v>9.418939657694708</v>
      </c>
      <c r="D52" s="34">
        <v>25.67312776445051</v>
      </c>
      <c r="E52" s="34">
        <v>24.876150981412053</v>
      </c>
      <c r="F52" s="34">
        <v>0.7969767830384558</v>
      </c>
      <c r="G52" s="34">
        <v>31.83235761259696</v>
      </c>
      <c r="H52" s="34">
        <v>13.572623326207871</v>
      </c>
      <c r="I52" s="34">
        <v>18.259734286389094</v>
      </c>
      <c r="J52" s="34">
        <v>16.961886175354493</v>
      </c>
      <c r="K52" s="34">
        <v>1.297848111034599</v>
      </c>
      <c r="L52" s="34">
        <v>66.92442503474219</v>
      </c>
      <c r="M52" s="34">
        <v>22.99156298390258</v>
      </c>
      <c r="N52" s="34">
        <v>43.932862050839596</v>
      </c>
      <c r="O52" s="34">
        <v>41.83803715676654</v>
      </c>
      <c r="P52" s="34">
        <v>2.0948248940730547</v>
      </c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12.0" customHeight="1">
      <c r="A53" s="32" t="s">
        <v>42</v>
      </c>
      <c r="B53" s="34">
        <v>6.202465102786043</v>
      </c>
      <c r="C53" s="34">
        <v>2.8567522399231433</v>
      </c>
      <c r="D53" s="34">
        <v>3.3457128628628987</v>
      </c>
      <c r="E53" s="34">
        <v>1.2895549904625137</v>
      </c>
      <c r="F53" s="34">
        <v>2.056157872400385</v>
      </c>
      <c r="G53" s="34">
        <v>4.457113253198193</v>
      </c>
      <c r="H53" s="34">
        <v>4.457113253198193</v>
      </c>
      <c r="I53" s="34"/>
      <c r="J53" s="34"/>
      <c r="K53" s="34"/>
      <c r="L53" s="34">
        <v>10.659578355984236</v>
      </c>
      <c r="M53" s="34">
        <v>7.313865493121336</v>
      </c>
      <c r="N53" s="34">
        <v>3.3457128628628987</v>
      </c>
      <c r="O53" s="34">
        <v>1.2895549904625137</v>
      </c>
      <c r="P53" s="34">
        <v>2.056157872400385</v>
      </c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2.0" customHeight="1">
      <c r="A54" s="32" t="s">
        <v>43</v>
      </c>
      <c r="B54" s="34">
        <v>52.006188721139246</v>
      </c>
      <c r="C54" s="34">
        <v>11.801953362053561</v>
      </c>
      <c r="D54" s="34">
        <v>40.20423535908569</v>
      </c>
      <c r="E54" s="34">
        <v>29.7200750909349</v>
      </c>
      <c r="F54" s="34">
        <v>10.484160268150797</v>
      </c>
      <c r="G54" s="34">
        <v>43.6756322084376</v>
      </c>
      <c r="H54" s="34">
        <v>9.864179684246796</v>
      </c>
      <c r="I54" s="34">
        <v>33.8114525241908</v>
      </c>
      <c r="J54" s="34">
        <v>25.97218968572523</v>
      </c>
      <c r="K54" s="34">
        <v>7.839262838465565</v>
      </c>
      <c r="L54" s="34">
        <v>95.68182092957683</v>
      </c>
      <c r="M54" s="34">
        <v>21.666133046300363</v>
      </c>
      <c r="N54" s="34">
        <v>74.01568788327648</v>
      </c>
      <c r="O54" s="34">
        <v>55.692264776660124</v>
      </c>
      <c r="P54" s="34">
        <v>18.32342310661636</v>
      </c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2.0" customHeight="1">
      <c r="A55" s="36" t="s">
        <v>36</v>
      </c>
      <c r="B55" s="37">
        <v>1423.1582698599423</v>
      </c>
      <c r="C55" s="37">
        <v>565.3584391868195</v>
      </c>
      <c r="D55" s="37">
        <v>857.7998306731232</v>
      </c>
      <c r="E55" s="37">
        <v>588.4816062706226</v>
      </c>
      <c r="F55" s="37">
        <v>269.3182244025006</v>
      </c>
      <c r="G55" s="37">
        <v>1428.2383273482308</v>
      </c>
      <c r="H55" s="37">
        <v>786.1774106761408</v>
      </c>
      <c r="I55" s="37">
        <v>642.0609166720909</v>
      </c>
      <c r="J55" s="37">
        <v>384.8497514119317</v>
      </c>
      <c r="K55" s="37">
        <v>257.2111652601592</v>
      </c>
      <c r="L55" s="37">
        <v>2851.3965972081755</v>
      </c>
      <c r="M55" s="37">
        <v>1351.5358498629607</v>
      </c>
      <c r="N55" s="37">
        <v>1499.8607473452137</v>
      </c>
      <c r="O55" s="37">
        <v>973.3313576825547</v>
      </c>
      <c r="P55" s="37">
        <v>526.529389662659</v>
      </c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ht="12.0" customHeight="1">
      <c r="A56" s="32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12.0" customHeight="1">
      <c r="A57" s="33" t="s">
        <v>11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12.0" customHeight="1">
      <c r="A58" s="32" t="s">
        <v>40</v>
      </c>
      <c r="B58" s="34">
        <v>4954.880940914418</v>
      </c>
      <c r="C58" s="34">
        <v>1422.8856615763377</v>
      </c>
      <c r="D58" s="34">
        <v>3531.9952793380653</v>
      </c>
      <c r="E58" s="34">
        <v>2374.731548809827</v>
      </c>
      <c r="F58" s="34">
        <v>1157.2637305282385</v>
      </c>
      <c r="G58" s="34">
        <v>4681.38488928483</v>
      </c>
      <c r="H58" s="34">
        <v>1745.995899349679</v>
      </c>
      <c r="I58" s="34">
        <v>2935.388989935131</v>
      </c>
      <c r="J58" s="34">
        <v>1744.138214751579</v>
      </c>
      <c r="K58" s="34">
        <v>1191.2507751835522</v>
      </c>
      <c r="L58" s="34">
        <v>9636.265830199209</v>
      </c>
      <c r="M58" s="34">
        <v>3168.881560926031</v>
      </c>
      <c r="N58" s="34">
        <v>6467.384269273201</v>
      </c>
      <c r="O58" s="34">
        <v>4118.869763561404</v>
      </c>
      <c r="P58" s="34">
        <v>2348.5145057117975</v>
      </c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12.0" customHeight="1">
      <c r="A59" s="32" t="s">
        <v>41</v>
      </c>
      <c r="B59" s="34">
        <v>156.73567503761848</v>
      </c>
      <c r="C59" s="34">
        <v>52.992857266282506</v>
      </c>
      <c r="D59" s="34">
        <v>103.74281777133598</v>
      </c>
      <c r="E59" s="34">
        <v>55.699739239110606</v>
      </c>
      <c r="F59" s="34">
        <v>48.04307853222538</v>
      </c>
      <c r="G59" s="34">
        <v>152.40984797704638</v>
      </c>
      <c r="H59" s="34">
        <v>56.55330053221415</v>
      </c>
      <c r="I59" s="34">
        <v>95.85654744483216</v>
      </c>
      <c r="J59" s="34">
        <v>56.215191971583955</v>
      </c>
      <c r="K59" s="34">
        <v>39.6413554732482</v>
      </c>
      <c r="L59" s="34">
        <v>309.14552301466443</v>
      </c>
      <c r="M59" s="34">
        <v>109.5461577984967</v>
      </c>
      <c r="N59" s="34">
        <v>199.59936521616805</v>
      </c>
      <c r="O59" s="34">
        <v>111.9149312106945</v>
      </c>
      <c r="P59" s="34">
        <v>87.68443400547356</v>
      </c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12.0" customHeight="1">
      <c r="A60" s="32" t="s">
        <v>42</v>
      </c>
      <c r="B60" s="34">
        <v>240.43685882441144</v>
      </c>
      <c r="C60" s="34">
        <v>75.30673643246472</v>
      </c>
      <c r="D60" s="34">
        <v>165.13012239194668</v>
      </c>
      <c r="E60" s="34">
        <v>146.48633241637012</v>
      </c>
      <c r="F60" s="34">
        <v>18.643789975576574</v>
      </c>
      <c r="G60" s="34">
        <v>194.97606431378514</v>
      </c>
      <c r="H60" s="34">
        <v>93.84074649697182</v>
      </c>
      <c r="I60" s="34">
        <v>101.13531781681327</v>
      </c>
      <c r="J60" s="34">
        <v>72.62308540974072</v>
      </c>
      <c r="K60" s="34">
        <v>28.512232407072542</v>
      </c>
      <c r="L60" s="34">
        <v>435.4129231381965</v>
      </c>
      <c r="M60" s="34">
        <v>169.14748292943653</v>
      </c>
      <c r="N60" s="34">
        <v>266.26544020875997</v>
      </c>
      <c r="O60" s="34">
        <v>219.10941782611087</v>
      </c>
      <c r="P60" s="34">
        <v>47.15602238264911</v>
      </c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12.0" customHeight="1">
      <c r="A61" s="32" t="s">
        <v>43</v>
      </c>
      <c r="B61" s="34">
        <v>569.7208609328019</v>
      </c>
      <c r="C61" s="34">
        <v>136.9569435695941</v>
      </c>
      <c r="D61" s="34">
        <v>432.7639173632075</v>
      </c>
      <c r="E61" s="34">
        <v>398.7167391039999</v>
      </c>
      <c r="F61" s="34">
        <v>34.04717825920761</v>
      </c>
      <c r="G61" s="34">
        <v>567.6652354922044</v>
      </c>
      <c r="H61" s="34">
        <v>194.86511165462477</v>
      </c>
      <c r="I61" s="34">
        <v>372.8001238375794</v>
      </c>
      <c r="J61" s="34">
        <v>334.36244356532893</v>
      </c>
      <c r="K61" s="34">
        <v>38.43768027225048</v>
      </c>
      <c r="L61" s="34">
        <v>1137.3860964250066</v>
      </c>
      <c r="M61" s="34">
        <v>331.8220552242188</v>
      </c>
      <c r="N61" s="34">
        <v>805.5640412007873</v>
      </c>
      <c r="O61" s="34">
        <v>733.0791826693292</v>
      </c>
      <c r="P61" s="34">
        <v>72.4848585314581</v>
      </c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12.0" customHeight="1">
      <c r="A62" s="36" t="s">
        <v>36</v>
      </c>
      <c r="B62" s="37">
        <v>5921.7743357092495</v>
      </c>
      <c r="C62" s="37">
        <v>1688.142198844678</v>
      </c>
      <c r="D62" s="37">
        <v>4233.63213686455</v>
      </c>
      <c r="E62" s="37">
        <v>2975.634359569302</v>
      </c>
      <c r="F62" s="37">
        <v>1257.9977772952486</v>
      </c>
      <c r="G62" s="37">
        <v>5596.436037067866</v>
      </c>
      <c r="H62" s="37">
        <v>2091.255058033488</v>
      </c>
      <c r="I62" s="37">
        <v>3505.180979034356</v>
      </c>
      <c r="J62" s="37">
        <v>2207.3389356982325</v>
      </c>
      <c r="K62" s="37">
        <v>1297.8420433361232</v>
      </c>
      <c r="L62" s="37">
        <v>11518.210372777075</v>
      </c>
      <c r="M62" s="37">
        <v>3779.397256878183</v>
      </c>
      <c r="N62" s="37">
        <v>7738.813115898918</v>
      </c>
      <c r="O62" s="37">
        <v>5182.9732952675395</v>
      </c>
      <c r="P62" s="37">
        <v>2555.839820631378</v>
      </c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ht="12.0" customHeight="1">
      <c r="A63" s="32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12.0" customHeight="1">
      <c r="A64" s="33" t="s">
        <v>12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12.0" customHeight="1">
      <c r="A65" s="32" t="s">
        <v>40</v>
      </c>
      <c r="B65" s="34">
        <v>1509.0058935529034</v>
      </c>
      <c r="C65" s="34">
        <v>528.5466586126399</v>
      </c>
      <c r="D65" s="34">
        <v>980.4592349402669</v>
      </c>
      <c r="E65" s="34">
        <v>691.5909747967751</v>
      </c>
      <c r="F65" s="34">
        <v>288.8682601434919</v>
      </c>
      <c r="G65" s="34">
        <v>1543.5303241608935</v>
      </c>
      <c r="H65" s="34">
        <v>754.3188814571213</v>
      </c>
      <c r="I65" s="34">
        <v>789.2114427037773</v>
      </c>
      <c r="J65" s="34">
        <v>478.87389252386123</v>
      </c>
      <c r="K65" s="34">
        <v>310.3375501799161</v>
      </c>
      <c r="L65" s="34">
        <v>3052.536217713813</v>
      </c>
      <c r="M65" s="34">
        <v>1282.8655400697603</v>
      </c>
      <c r="N65" s="34">
        <v>1769.6706776440446</v>
      </c>
      <c r="O65" s="34">
        <v>1170.464867320636</v>
      </c>
      <c r="P65" s="34">
        <v>599.2058103234087</v>
      </c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12.0" customHeight="1">
      <c r="A66" s="32" t="s">
        <v>41</v>
      </c>
      <c r="B66" s="34">
        <v>10.975502709220486</v>
      </c>
      <c r="C66" s="34">
        <v>2.583288071005292</v>
      </c>
      <c r="D66" s="34">
        <v>8.392214638215194</v>
      </c>
      <c r="E66" s="34">
        <v>5.586245486726154</v>
      </c>
      <c r="F66" s="34">
        <v>2.805969151489039</v>
      </c>
      <c r="G66" s="34">
        <v>7.96673651555856</v>
      </c>
      <c r="H66" s="34">
        <v>3.6036850133356433</v>
      </c>
      <c r="I66" s="34">
        <v>4.363051502222918</v>
      </c>
      <c r="J66" s="34">
        <v>2.5021313522291564</v>
      </c>
      <c r="K66" s="34">
        <v>1.8609201499937618</v>
      </c>
      <c r="L66" s="34">
        <v>18.942239224779044</v>
      </c>
      <c r="M66" s="34">
        <v>6.186973084340934</v>
      </c>
      <c r="N66" s="34">
        <v>12.755266140438112</v>
      </c>
      <c r="O66" s="34">
        <v>8.08837683895531</v>
      </c>
      <c r="P66" s="34">
        <v>4.666889301482801</v>
      </c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12.0" customHeight="1">
      <c r="A67" s="32" t="s">
        <v>42</v>
      </c>
      <c r="B67" s="34">
        <v>12.71618650414344</v>
      </c>
      <c r="C67" s="34">
        <v>2.7989537363388335</v>
      </c>
      <c r="D67" s="34">
        <v>9.917232767804608</v>
      </c>
      <c r="E67" s="34">
        <v>9.917232767804608</v>
      </c>
      <c r="F67" s="34"/>
      <c r="G67" s="34">
        <v>9.699384555672918</v>
      </c>
      <c r="H67" s="34">
        <v>4.6213606870688055</v>
      </c>
      <c r="I67" s="34">
        <v>5.078023868604113</v>
      </c>
      <c r="J67" s="34">
        <v>5.078023868604113</v>
      </c>
      <c r="K67" s="34"/>
      <c r="L67" s="34">
        <v>22.415571059816358</v>
      </c>
      <c r="M67" s="34">
        <v>7.420314423407638</v>
      </c>
      <c r="N67" s="34">
        <v>14.99525663640872</v>
      </c>
      <c r="O67" s="34">
        <v>14.99525663640872</v>
      </c>
      <c r="P67" s="34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12.0" customHeight="1">
      <c r="A68" s="32" t="s">
        <v>43</v>
      </c>
      <c r="B68" s="34">
        <v>67.9971093539557</v>
      </c>
      <c r="C68" s="34">
        <v>12.682150891714354</v>
      </c>
      <c r="D68" s="34">
        <v>55.31495846224134</v>
      </c>
      <c r="E68" s="34">
        <v>52.12612451325373</v>
      </c>
      <c r="F68" s="34">
        <v>3.1888339489876136</v>
      </c>
      <c r="G68" s="34">
        <v>66.29780865946579</v>
      </c>
      <c r="H68" s="34">
        <v>24.309337120704228</v>
      </c>
      <c r="I68" s="34">
        <v>41.988471538761544</v>
      </c>
      <c r="J68" s="34">
        <v>37.57712875183313</v>
      </c>
      <c r="K68" s="34">
        <v>4.411342786928419</v>
      </c>
      <c r="L68" s="34">
        <v>134.29491801342152</v>
      </c>
      <c r="M68" s="34">
        <v>36.9914880124186</v>
      </c>
      <c r="N68" s="34">
        <v>97.30343000100292</v>
      </c>
      <c r="O68" s="34">
        <v>89.70325326508689</v>
      </c>
      <c r="P68" s="34">
        <v>7.600176735916032</v>
      </c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2.0" customHeight="1">
      <c r="A69" s="36" t="s">
        <v>36</v>
      </c>
      <c r="B69" s="37">
        <v>1600.6946921202232</v>
      </c>
      <c r="C69" s="37">
        <v>546.6110513116984</v>
      </c>
      <c r="D69" s="37">
        <v>1054.0836408085283</v>
      </c>
      <c r="E69" s="37">
        <v>759.2205775645598</v>
      </c>
      <c r="F69" s="37">
        <v>294.86306324396855</v>
      </c>
      <c r="G69" s="37">
        <v>1627.4942538915907</v>
      </c>
      <c r="H69" s="37">
        <v>786.8532642782302</v>
      </c>
      <c r="I69" s="37">
        <v>840.6409896133662</v>
      </c>
      <c r="J69" s="37">
        <v>524.0311764965279</v>
      </c>
      <c r="K69" s="37">
        <v>316.6098131168382</v>
      </c>
      <c r="L69" s="37">
        <v>3228.18894601183</v>
      </c>
      <c r="M69" s="37">
        <v>1333.4643155899275</v>
      </c>
      <c r="N69" s="37">
        <v>1894.7246304218943</v>
      </c>
      <c r="O69" s="37">
        <v>1283.2517540610868</v>
      </c>
      <c r="P69" s="37">
        <v>611.4728763608076</v>
      </c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ht="12.0" customHeight="1">
      <c r="A70" s="32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2.0" customHeight="1">
      <c r="A71" s="33" t="s">
        <v>13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12.0" customHeight="1">
      <c r="A72" s="32" t="s">
        <v>40</v>
      </c>
      <c r="B72" s="34">
        <v>1958.622748672933</v>
      </c>
      <c r="C72" s="34">
        <v>835.396319118383</v>
      </c>
      <c r="D72" s="34">
        <v>1123.226429554543</v>
      </c>
      <c r="E72" s="34">
        <v>826.9270869914105</v>
      </c>
      <c r="F72" s="34">
        <v>296.2993425631325</v>
      </c>
      <c r="G72" s="34">
        <v>2040.1976808813993</v>
      </c>
      <c r="H72" s="34">
        <v>1078.521040642031</v>
      </c>
      <c r="I72" s="34">
        <v>961.6766402393674</v>
      </c>
      <c r="J72" s="34">
        <v>654.2975716828802</v>
      </c>
      <c r="K72" s="34">
        <v>307.37906855648725</v>
      </c>
      <c r="L72" s="34">
        <v>3998.820429554333</v>
      </c>
      <c r="M72" s="34">
        <v>1913.9173597604151</v>
      </c>
      <c r="N72" s="34">
        <v>2084.9030697939083</v>
      </c>
      <c r="O72" s="34">
        <v>1481.224658674289</v>
      </c>
      <c r="P72" s="34">
        <v>603.6784111196192</v>
      </c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12.0" customHeight="1">
      <c r="A73" s="32" t="s">
        <v>41</v>
      </c>
      <c r="B73" s="34"/>
      <c r="C73" s="34"/>
      <c r="D73" s="34"/>
      <c r="E73" s="34"/>
      <c r="F73" s="34"/>
      <c r="G73" s="34">
        <v>3.7966398007778492</v>
      </c>
      <c r="H73" s="34">
        <v>1.6445205264209946</v>
      </c>
      <c r="I73" s="34">
        <v>2.152119274356855</v>
      </c>
      <c r="J73" s="34">
        <v>2.152119274356855</v>
      </c>
      <c r="K73" s="34"/>
      <c r="L73" s="34">
        <v>3.7966398007778492</v>
      </c>
      <c r="M73" s="34">
        <v>1.6445205264209946</v>
      </c>
      <c r="N73" s="34">
        <v>2.152119274356855</v>
      </c>
      <c r="O73" s="34">
        <v>2.152119274356855</v>
      </c>
      <c r="P73" s="34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12.0" customHeight="1">
      <c r="A74" s="32" t="s">
        <v>42</v>
      </c>
      <c r="B74" s="34">
        <v>13.448969449220021</v>
      </c>
      <c r="C74" s="34">
        <v>4.6472337525237615</v>
      </c>
      <c r="D74" s="34">
        <v>8.80173569669626</v>
      </c>
      <c r="E74" s="34">
        <v>8.109987227427741</v>
      </c>
      <c r="F74" s="34">
        <v>0.69174846926852</v>
      </c>
      <c r="G74" s="34">
        <v>10.747889676053278</v>
      </c>
      <c r="H74" s="34">
        <v>7.76231409320873</v>
      </c>
      <c r="I74" s="34">
        <v>2.9855755828445485</v>
      </c>
      <c r="J74" s="34"/>
      <c r="K74" s="34">
        <v>2.9855755828445485</v>
      </c>
      <c r="L74" s="34">
        <v>24.1968591252733</v>
      </c>
      <c r="M74" s="34">
        <v>12.409547845732488</v>
      </c>
      <c r="N74" s="34">
        <v>11.787311279540809</v>
      </c>
      <c r="O74" s="34">
        <v>8.109987227427741</v>
      </c>
      <c r="P74" s="34">
        <v>3.6773240521130686</v>
      </c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12.0" customHeight="1">
      <c r="A75" s="32" t="s">
        <v>43</v>
      </c>
      <c r="B75" s="34">
        <v>36.04817866205258</v>
      </c>
      <c r="C75" s="34">
        <v>5.092617483544304</v>
      </c>
      <c r="D75" s="34">
        <v>30.95556117850827</v>
      </c>
      <c r="E75" s="34">
        <v>30.95556117850827</v>
      </c>
      <c r="F75" s="34"/>
      <c r="G75" s="34">
        <v>46.71563591528676</v>
      </c>
      <c r="H75" s="34">
        <v>16.12973259292468</v>
      </c>
      <c r="I75" s="34">
        <v>30.585903322362086</v>
      </c>
      <c r="J75" s="34">
        <v>29.322079353502588</v>
      </c>
      <c r="K75" s="34">
        <v>1.2638239688594997</v>
      </c>
      <c r="L75" s="34">
        <v>82.76381457733935</v>
      </c>
      <c r="M75" s="34">
        <v>21.22235007646898</v>
      </c>
      <c r="N75" s="34">
        <v>61.541464500870354</v>
      </c>
      <c r="O75" s="34">
        <v>60.27764053201086</v>
      </c>
      <c r="P75" s="34">
        <v>1.2638239688594997</v>
      </c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12.0" customHeight="1">
      <c r="A76" s="36" t="s">
        <v>36</v>
      </c>
      <c r="B76" s="37">
        <v>2008.1198967842056</v>
      </c>
      <c r="C76" s="37">
        <v>845.136170354451</v>
      </c>
      <c r="D76" s="37">
        <v>1162.9837264297478</v>
      </c>
      <c r="E76" s="37">
        <v>865.9926353973467</v>
      </c>
      <c r="F76" s="37">
        <v>296.991091032401</v>
      </c>
      <c r="G76" s="37">
        <v>2101.457846273517</v>
      </c>
      <c r="H76" s="37">
        <v>1104.0576078545857</v>
      </c>
      <c r="I76" s="37">
        <v>997.4002384189313</v>
      </c>
      <c r="J76" s="37">
        <v>685.77177031074</v>
      </c>
      <c r="K76" s="37">
        <v>311.6284681081913</v>
      </c>
      <c r="L76" s="37">
        <v>4109.577743057724</v>
      </c>
      <c r="M76" s="37">
        <v>1949.1937782090376</v>
      </c>
      <c r="N76" s="37">
        <v>2160.3839648486764</v>
      </c>
      <c r="O76" s="37">
        <v>1551.7644057080845</v>
      </c>
      <c r="P76" s="37">
        <v>608.6195591405917</v>
      </c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ht="12.0" customHeight="1">
      <c r="A77" s="40" t="s">
        <v>46</v>
      </c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ht="12.0" customHeight="1">
      <c r="A78" s="40" t="s">
        <v>47</v>
      </c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ht="12.0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ht="12.0" customHeight="1">
      <c r="A80" s="41" t="s">
        <v>48</v>
      </c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ht="12.0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ht="12.0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ht="12.0" customHeight="1">
      <c r="A83" s="42" t="s">
        <v>49</v>
      </c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ht="12.0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ht="12.0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ht="12.0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ht="12.0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ht="12.0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ht="12.0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ht="12.0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ht="12.0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ht="12.0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ht="12.0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ht="12.0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ht="12.0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ht="12.0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ht="12.0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ht="12.0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ht="12.0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ht="12.0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ht="12.0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ht="12.0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ht="12.0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ht="12.0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ht="12.0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ht="12.0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ht="12.0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ht="12.0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ht="12.0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ht="12.0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ht="12.0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ht="12.0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ht="12.0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ht="12.0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ht="12.0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ht="12.0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ht="12.0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ht="12.0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ht="12.0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ht="12.0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ht="12.0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ht="12.0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ht="12.0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ht="12.0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ht="12.0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ht="12.0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ht="12.0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ht="12.0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ht="12.0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ht="12.0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ht="12.0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ht="12.0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ht="12.0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ht="12.0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ht="12.0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ht="12.0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ht="12.0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ht="12.0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ht="12.0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ht="12.0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ht="12.0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ht="12.0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ht="12.0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ht="12.0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ht="12.0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ht="12.0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ht="12.0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ht="12.0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ht="12.0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ht="12.0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ht="12.0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ht="12.0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ht="12.0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ht="12.0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ht="12.0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ht="12.0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ht="12.0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ht="12.0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ht="12.0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ht="12.0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ht="12.0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ht="12.0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ht="12.0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ht="12.0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ht="12.0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ht="12.0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ht="12.0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ht="12.0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ht="12.0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ht="12.0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ht="12.0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ht="12.0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ht="12.0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ht="12.0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ht="12.0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ht="12.0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ht="12.0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ht="12.0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ht="12.0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ht="12.0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ht="12.0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ht="12.0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ht="12.0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ht="12.0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ht="12.0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ht="12.0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ht="12.0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ht="12.0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ht="12.0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ht="12.0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ht="12.0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ht="12.0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ht="12.0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ht="12.0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ht="12.0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ht="12.0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ht="12.0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ht="12.0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ht="12.0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ht="12.0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ht="12.0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ht="12.0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ht="12.0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ht="12.0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ht="12.0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ht="12.0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ht="12.0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ht="12.0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ht="12.0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ht="12.0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ht="12.0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ht="12.0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ht="12.0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ht="12.0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ht="12.0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ht="12.0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ht="12.0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ht="12.0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ht="12.0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ht="12.0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ht="12.0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ht="12.0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ht="12.0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ht="12.0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ht="12.0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ht="12.0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ht="12.0" customHeight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ht="12.0" customHeight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ht="12.0" customHeight="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ht="12.0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ht="12.0" customHeight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ht="12.0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ht="12.0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ht="12.0" customHeight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ht="12.0" customHeight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ht="12.0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ht="12.0" customHeight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ht="12.0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ht="12.0" customHeight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ht="12.0" customHeight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ht="12.0" customHeight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ht="12.0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ht="12.0" customHeight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ht="12.0" customHeight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ht="12.0" customHeight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ht="12.0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ht="12.0" customHeight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ht="12.0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ht="12.0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ht="12.0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ht="12.0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ht="12.0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ht="12.0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ht="12.0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ht="12.0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ht="12.0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ht="12.0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ht="12.0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ht="12.0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ht="12.0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ht="12.0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ht="12.0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ht="12.0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ht="12.0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ht="12.0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ht="12.0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ht="12.0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ht="12.0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ht="12.0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ht="12.0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ht="12.0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ht="12.0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ht="12.0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ht="12.0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ht="12.0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ht="12.0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ht="12.0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ht="12.0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ht="12.0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ht="12.0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ht="12.0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ht="12.0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ht="12.0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ht="12.0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ht="12.0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ht="12.0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ht="12.0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ht="12.0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ht="12.0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ht="12.0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ht="12.0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ht="12.0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ht="12.0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ht="12.0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ht="12.0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ht="12.0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ht="12.0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ht="12.0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ht="12.0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ht="12.0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ht="12.0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ht="12.0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ht="12.0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ht="12.0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ht="12.0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ht="12.0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ht="12.0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ht="12.0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ht="12.0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ht="12.0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ht="12.0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ht="12.0" customHeight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ht="12.0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ht="12.0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ht="12.0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ht="12.0" customHeight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ht="12.0" customHeight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ht="12.0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ht="12.0" customHeight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ht="12.0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ht="12.0" customHeight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ht="12.0" customHeight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ht="12.0" customHeight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ht="12.0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ht="12.0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ht="12.0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ht="12.0" customHeight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ht="12.0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ht="12.0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ht="12.0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ht="12.0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ht="12.0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ht="12.0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ht="12.0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ht="12.0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ht="12.0" customHeight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ht="12.0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ht="12.0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ht="12.0" customHeight="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ht="12.0" customHeight="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ht="12.0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ht="12.0" customHeight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ht="12.0" customHeight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ht="12.0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ht="12.0" customHeight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ht="12.0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ht="12.0" customHeight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ht="12.0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ht="12.0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ht="12.0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ht="12.0" customHeight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ht="12.0" customHeight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ht="12.0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ht="12.0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ht="12.0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ht="12.0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ht="12.0" customHeight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ht="12.0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ht="12.0" customHeigh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ht="12.0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ht="12.0" customHeight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ht="12.0" customHeight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ht="12.0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ht="12.0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ht="12.0" customHeight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ht="12.0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ht="12.0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ht="12.0" customHeight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ht="12.0" customHeigh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ht="12.0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ht="12.0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ht="12.0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ht="12.0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ht="12.0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ht="12.0" customHeight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ht="12.0" customHeight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ht="12.0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ht="12.0" customHeight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ht="12.0" customHeight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ht="12.0" customHeight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ht="12.0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ht="12.0" customHeight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ht="12.0" customHeight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ht="12.0" customHeight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ht="12.0" customHeight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ht="12.0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ht="12.0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ht="12.0" customHeight="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ht="12.0" customHeight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ht="12.0" customHeight="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ht="12.0" customHeight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ht="12.0" customHeight="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ht="12.0" customHeight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ht="12.0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ht="12.0" customHeight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ht="12.0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ht="12.0" customHeigh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ht="12.0" customHeight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ht="12.0" customHeight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ht="12.0" customHeight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ht="12.0" customHeight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ht="12.0" customHeight="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ht="12.0" customHeight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ht="12.0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ht="12.0" customHeight="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ht="12.0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ht="12.0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ht="12.0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ht="12.0" customHeigh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ht="12.0" customHeight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ht="12.0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ht="12.0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ht="12.0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ht="12.0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ht="12.0" customHeight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ht="12.0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ht="12.0" customHeight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ht="12.0" customHeight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ht="12.0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ht="12.0" customHeight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ht="12.0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ht="12.0" customHeight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ht="12.0" customHeight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ht="12.0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ht="12.0" customHeigh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ht="12.0" customHeight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ht="12.0" customHeight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ht="12.0" customHeight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ht="12.0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ht="12.0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ht="12.0" customHeight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ht="12.0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ht="12.0" customHeight="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ht="12.0" customHeight="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ht="12.0" customHeight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ht="12.0" customHeight="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ht="12.0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ht="12.0" customHeight="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ht="12.0" customHeight="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ht="12.0" customHeight="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ht="12.0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ht="12.0" customHeight="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ht="12.0" customHeight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ht="12.0" customHeight="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ht="12.0" customHeight="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ht="12.0" customHeight="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ht="12.0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ht="12.0" customHeight="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ht="12.0" customHeight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ht="12.0" customHeight="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ht="12.0" customHeight="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ht="12.0" customHeight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ht="12.0" customHeight="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ht="12.0" customHeight="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ht="12.0" customHeight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ht="12.0" customHeight="1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ht="12.0" customHeight="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ht="12.0" customHeight="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ht="12.0" customHeight="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ht="12.0" customHeight="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ht="12.0" customHeight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ht="12.0" customHeight="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ht="12.0" customHeight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ht="12.0" customHeight="1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ht="12.0" customHeight="1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ht="12.0" customHeight="1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ht="12.0" customHeight="1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ht="12.0" customHeight="1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ht="12.0" customHeight="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ht="12.0" customHeight="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ht="12.0" customHeight="1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ht="12.0" customHeight="1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ht="12.0" customHeight="1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ht="12.0" customHeight="1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ht="12.0" customHeight="1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ht="12.0" customHeight="1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ht="12.0" customHeight="1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ht="12.0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ht="12.0" customHeight="1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ht="12.0" customHeight="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ht="12.0" customHeight="1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ht="12.0" customHeight="1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ht="12.0" customHeight="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ht="12.0" customHeight="1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ht="12.0" customHeight="1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ht="12.0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ht="12.0" customHeight="1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ht="12.0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ht="12.0" customHeight="1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ht="12.0" customHeight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ht="12.0" customHeight="1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ht="12.0" customHeight="1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ht="12.0" customHeight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ht="12.0" customHeight="1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ht="12.0" customHeigh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ht="12.0" customHeight="1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ht="12.0" customHeight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ht="12.0" customHeight="1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ht="12.0" customHeight="1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ht="12.0" customHeight="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ht="12.0" customHeight="1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ht="12.0" customHeight="1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ht="12.0" customHeight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ht="12.0" customHeight="1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ht="12.0" customHeight="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ht="12.0" customHeight="1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ht="12.0" customHeight="1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ht="12.0" customHeight="1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ht="12.0" customHeight="1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ht="12.0" customHeight="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ht="12.0" customHeight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ht="12.0" customHeight="1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ht="12.0" customHeight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ht="12.0" customHeight="1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ht="12.0" customHeight="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ht="12.0" customHeight="1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ht="12.0" customHeight="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ht="12.0" customHeight="1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ht="12.0" customHeight="1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ht="12.0" customHeight="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ht="12.0" customHeight="1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ht="12.0" customHeight="1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ht="12.0" customHeight="1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ht="12.0" customHeight="1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ht="12.0" customHeight="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ht="12.0" customHeight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ht="12.0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ht="12.0" customHeight="1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ht="12.0" customHeight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ht="12.0" customHeight="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ht="12.0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ht="12.0" customHeight="1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ht="12.0" customHeight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ht="12.0" customHeight="1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ht="12.0" customHeight="1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ht="12.0" customHeight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ht="12.0" customHeight="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ht="12.0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ht="12.0" customHeight="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ht="12.0" customHeight="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ht="12.0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ht="12.0" customHeight="1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ht="12.0" customHeight="1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ht="12.0" customHeight="1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ht="12.0" customHeight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ht="12.0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ht="12.0" customHeight="1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ht="12.0" customHeight="1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ht="12.0" customHeight="1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ht="12.0" customHeight="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ht="12.0" customHeight="1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ht="12.0" customHeight="1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ht="12.0" customHeight="1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ht="12.0" customHeight="1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ht="12.0" customHeight="1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ht="12.0" customHeight="1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ht="12.0" customHeight="1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ht="12.0" customHeight="1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ht="12.0" customHeight="1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ht="12.0" customHeight="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ht="12.0" customHeight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ht="12.0" customHeight="1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ht="12.0" customHeight="1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ht="12.0" customHeight="1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ht="12.0" customHeight="1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ht="12.0" customHeight="1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ht="12.0" customHeight="1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ht="12.0" customHeight="1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ht="12.0" customHeight="1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ht="12.0" customHeight="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ht="12.0" customHeight="1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ht="12.0" customHeight="1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ht="12.0" customHeight="1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ht="12.0" customHeight="1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ht="12.0" customHeight="1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ht="12.0" customHeight="1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ht="12.0" customHeight="1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ht="12.0" customHeight="1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ht="12.0" customHeight="1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ht="12.0" customHeight="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ht="12.0" customHeight="1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ht="12.0" customHeight="1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ht="12.0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ht="12.0" customHeight="1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ht="12.0" customHeight="1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ht="12.0" customHeight="1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ht="12.0" customHeight="1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ht="12.0" customHeight="1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ht="12.0" customHeight="1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ht="12.0" customHeight="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ht="12.0" customHeight="1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ht="12.0" customHeight="1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ht="12.0" customHeight="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ht="12.0" customHeight="1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ht="12.0" customHeight="1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ht="12.0" customHeight="1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ht="12.0" customHeight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ht="12.0" customHeight="1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ht="12.0" customHeight="1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ht="12.0" customHeight="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ht="12.0" customHeight="1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ht="12.0" customHeight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ht="12.0" customHeight="1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ht="12.0" customHeight="1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ht="12.0" customHeight="1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ht="12.0" customHeight="1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ht="12.0" customHeight="1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ht="12.0" customHeight="1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ht="12.0" customHeight="1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ht="12.0" customHeight="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ht="12.0" customHeight="1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ht="12.0" customHeight="1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ht="12.0" customHeight="1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ht="12.0" customHeight="1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ht="12.0" customHeight="1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ht="12.0" customHeight="1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ht="12.0" customHeight="1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ht="12.0" customHeight="1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ht="12.0" customHeight="1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ht="12.0" customHeight="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ht="12.0" customHeight="1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ht="12.0" customHeight="1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ht="12.0" customHeight="1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ht="12.0" customHeight="1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ht="12.0" customHeight="1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ht="12.0" customHeight="1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ht="12.0" customHeight="1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ht="12.0" customHeight="1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ht="12.0" customHeight="1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ht="12.0" customHeight="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ht="12.0" customHeight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ht="12.0" customHeight="1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ht="12.0" customHeight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ht="12.0" customHeight="1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ht="12.0" customHeight="1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ht="12.0" customHeight="1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ht="12.0" customHeight="1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ht="12.0" customHeight="1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ht="12.0" customHeight="1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ht="12.0" customHeight="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ht="12.0" customHeight="1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ht="12.0" customHeight="1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ht="12.0" customHeight="1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ht="12.0" customHeight="1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ht="12.0" customHeight="1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ht="12.0" customHeight="1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ht="12.0" customHeight="1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ht="12.0" customHeight="1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ht="12.0" customHeight="1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ht="12.0" customHeight="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ht="12.0" customHeight="1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ht="12.0" customHeight="1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ht="12.0" customHeight="1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ht="12.0" customHeight="1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ht="12.0" customHeight="1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ht="12.0" customHeight="1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ht="12.0" customHeight="1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ht="12.0" customHeight="1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ht="12.0" customHeight="1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ht="12.0" customHeight="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ht="12.0" customHeight="1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ht="12.0" customHeight="1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ht="12.0" customHeight="1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ht="12.0" customHeight="1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ht="12.0" customHeight="1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ht="12.0" customHeight="1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ht="12.0" customHeight="1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ht="12.0" customHeight="1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ht="12.0" customHeight="1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ht="12.0" customHeight="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ht="12.0" customHeight="1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ht="12.0" customHeight="1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ht="12.0" customHeight="1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ht="12.0" customHeight="1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ht="12.0" customHeight="1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ht="12.0" customHeight="1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ht="12.0" customHeight="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ht="12.0" customHeight="1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ht="12.0" customHeight="1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ht="12.0" customHeight="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ht="12.0" customHeight="1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ht="12.0" customHeight="1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ht="12.0" customHeight="1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ht="12.0" customHeight="1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ht="12.0" customHeight="1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ht="12.0" customHeight="1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ht="12.0" customHeight="1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ht="12.0" customHeight="1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ht="12.0" customHeight="1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ht="12.0" customHeight="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ht="12.0" customHeight="1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ht="12.0" customHeight="1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ht="12.0" customHeight="1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ht="12.0" customHeight="1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ht="12.0" customHeight="1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ht="12.0" customHeight="1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ht="12.0" customHeight="1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ht="12.0" customHeight="1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ht="12.0" customHeight="1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ht="12.0" customHeight="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ht="12.0" customHeight="1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ht="12.0" customHeight="1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ht="12.0" customHeight="1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ht="12.0" customHeight="1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ht="12.0" customHeight="1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ht="12.0" customHeight="1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ht="12.0" customHeight="1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ht="12.0" customHeight="1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ht="12.0" customHeight="1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ht="12.0" customHeight="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ht="12.0" customHeight="1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ht="12.0" customHeight="1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ht="12.0" customHeight="1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ht="12.0" customHeight="1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ht="12.0" customHeight="1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ht="12.0" customHeight="1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ht="12.0" customHeight="1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ht="12.0" customHeight="1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ht="12.0" customHeight="1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ht="12.0" customHeight="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ht="12.0" customHeight="1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ht="12.0" customHeight="1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ht="12.0" customHeight="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ht="12.0" customHeight="1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ht="12.0" customHeight="1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ht="12.0" customHeight="1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ht="12.0" customHeight="1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ht="12.0" customHeight="1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ht="12.0" customHeight="1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ht="12.0" customHeight="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ht="12.0" customHeight="1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ht="12.0" customHeight="1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ht="12.0" customHeight="1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ht="12.0" customHeight="1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ht="12.0" customHeight="1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ht="12.0" customHeight="1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ht="12.0" customHeight="1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ht="12.0" customHeight="1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ht="12.0" customHeight="1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ht="12.0" customHeight="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ht="12.0" customHeight="1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ht="12.0" customHeight="1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ht="12.0" customHeight="1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ht="12.0" customHeight="1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ht="12.0" customHeight="1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ht="12.0" customHeight="1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ht="12.0" customHeight="1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ht="12.0" customHeight="1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ht="12.0" customHeight="1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ht="12.0" customHeight="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ht="12.0" customHeight="1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ht="12.0" customHeight="1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ht="12.0" customHeight="1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ht="12.0" customHeight="1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ht="12.0" customHeight="1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ht="12.0" customHeight="1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ht="12.0" customHeight="1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ht="12.0" customHeight="1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ht="12.0" customHeight="1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ht="12.0" customHeight="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ht="12.0" customHeight="1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ht="12.0" customHeight="1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ht="12.0" customHeight="1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ht="12.0" customHeight="1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ht="12.0" customHeight="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ht="12.0" customHeight="1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ht="12.0" customHeight="1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ht="12.0" customHeight="1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ht="12.0" customHeight="1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ht="12.0" customHeight="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ht="12.0" customHeight="1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ht="12.0" customHeight="1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ht="12.0" customHeight="1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ht="12.0" customHeight="1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ht="12.0" customHeight="1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ht="12.0" customHeight="1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ht="12.0" customHeight="1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ht="12.0" customHeight="1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ht="12.0" customHeight="1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ht="12.0" customHeight="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ht="12.0" customHeight="1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ht="12.0" customHeight="1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ht="12.0" customHeight="1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ht="12.0" customHeight="1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ht="12.0" customHeight="1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ht="12.0" customHeight="1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ht="12.0" customHeight="1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ht="12.0" customHeight="1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ht="12.0" customHeight="1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ht="12.0" customHeight="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ht="12.0" customHeight="1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ht="12.0" customHeight="1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ht="12.0" customHeight="1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ht="12.0" customHeight="1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ht="12.0" customHeight="1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ht="12.0" customHeight="1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ht="12.0" customHeight="1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ht="12.0" customHeight="1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ht="12.0" customHeight="1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ht="12.0" customHeight="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ht="12.0" customHeight="1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ht="12.0" customHeight="1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ht="12.0" customHeight="1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ht="12.0" customHeight="1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ht="12.0" customHeight="1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ht="12.0" customHeight="1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ht="12.0" customHeight="1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ht="12.0" customHeight="1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ht="12.0" customHeight="1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ht="12.0" customHeight="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ht="12.0" customHeight="1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ht="12.0" customHeight="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ht="12.0" customHeight="1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ht="12.0" customHeight="1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ht="12.0" customHeight="1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ht="12.0" customHeight="1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ht="12.0" customHeight="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ht="12.0" customHeight="1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ht="12.0" customHeight="1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ht="12.0" customHeight="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ht="12.0" customHeight="1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ht="12.0" customHeight="1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ht="12.0" customHeight="1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ht="12.0" customHeight="1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ht="12.0" customHeight="1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ht="12.0" customHeight="1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ht="12.0" customHeight="1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ht="12.0" customHeight="1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ht="12.0" customHeight="1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ht="12.0" customHeight="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ht="12.0" customHeight="1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ht="12.0" customHeight="1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ht="12.0" customHeight="1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ht="12.0" customHeight="1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ht="12.0" customHeight="1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ht="12.0" customHeight="1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ht="12.0" customHeight="1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ht="12.0" customHeight="1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ht="12.0" customHeight="1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ht="12.0" customHeight="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ht="12.0" customHeight="1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ht="12.0" customHeight="1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ht="12.0" customHeight="1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ht="12.0" customHeight="1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ht="12.0" customHeight="1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ht="12.0" customHeight="1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ht="12.0" customHeight="1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ht="12.0" customHeight="1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ht="12.0" customHeight="1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ht="12.0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ht="12.0" customHeight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ht="12.0" customHeight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ht="12.0" customHeight="1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ht="12.0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ht="12.0" customHeight="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ht="12.0" customHeight="1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ht="12.0" customHeight="1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ht="12.0" customHeight="1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ht="12.0" customHeight="1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ht="12.0" customHeight="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ht="12.0" customHeight="1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ht="12.0" customHeight="1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ht="12.0" customHeight="1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ht="12.0" customHeight="1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ht="12.0" customHeight="1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ht="12.0" customHeight="1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ht="12.0" customHeight="1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ht="12.0" customHeight="1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ht="12.0" customHeight="1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ht="12.0" customHeight="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ht="12.0" customHeight="1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ht="12.0" customHeight="1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ht="12.0" customHeight="1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ht="12.0" customHeight="1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ht="12.0" customHeight="1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ht="12.0" customHeight="1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ht="12.0" customHeight="1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ht="12.0" customHeight="1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ht="12.0" customHeight="1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ht="12.0" customHeight="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ht="12.0" customHeight="1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ht="12.0" customHeight="1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ht="12.0" customHeight="1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ht="12.0" customHeight="1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ht="12.0" customHeight="1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ht="12.0" customHeight="1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ht="12.0" customHeight="1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ht="12.0" customHeight="1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ht="12.0" customHeight="1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ht="12.0" customHeight="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ht="12.0" customHeight="1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ht="12.0" customHeight="1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ht="12.0" customHeight="1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ht="12.0" customHeight="1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ht="12.0" customHeight="1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ht="12.0" customHeight="1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ht="12.0" customHeight="1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ht="12.0" customHeight="1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ht="12.0" customHeight="1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ht="12.0" customHeight="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ht="12.0" customHeight="1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ht="12.0" customHeight="1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ht="12.0" customHeight="1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ht="12.0" customHeight="1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ht="12.0" customHeight="1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ht="12.0" customHeight="1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ht="12.0" customHeight="1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ht="12.0" customHeight="1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ht="12.0" customHeight="1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ht="12.0" customHeight="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ht="12.0" customHeight="1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ht="12.0" customHeight="1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ht="12.0" customHeight="1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ht="12.0" customHeight="1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ht="12.0" customHeight="1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ht="12.0" customHeight="1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ht="12.0" customHeight="1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ht="12.0" customHeight="1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ht="12.0" customHeight="1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ht="12.0" customHeight="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ht="12.0" customHeight="1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ht="12.0" customHeight="1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ht="12.0" customHeight="1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ht="12.0" customHeight="1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ht="12.0" customHeight="1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ht="12.0" customHeight="1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ht="12.0" customHeight="1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ht="12.0" customHeight="1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ht="12.0" customHeight="1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ht="12.0" customHeight="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ht="12.0" customHeight="1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ht="12.0" customHeight="1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ht="12.0" customHeight="1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ht="12.0" customHeight="1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ht="12.0" customHeight="1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ht="12.0" customHeight="1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ht="12.0" customHeight="1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ht="12.0" customHeight="1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ht="12.0" customHeight="1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ht="12.0" customHeight="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ht="12.0" customHeight="1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ht="12.0" customHeight="1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ht="12.0" customHeight="1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ht="12.0" customHeight="1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ht="12.0" customHeight="1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ht="12.0" customHeight="1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ht="12.0" customHeight="1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ht="12.0" customHeight="1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ht="12.0" customHeight="1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ht="12.0" customHeight="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ht="12.0" customHeight="1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ht="12.0" customHeight="1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ht="12.0" customHeight="1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ht="12.0" customHeight="1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ht="12.0" customHeight="1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ht="12.0" customHeight="1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ht="12.0" customHeight="1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ht="12.0" customHeight="1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ht="12.0" customHeight="1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ht="12.0" customHeight="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ht="12.0" customHeight="1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ht="12.0" customHeight="1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ht="12.0" customHeight="1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ht="12.0" customHeight="1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ht="12.0" customHeight="1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ht="12.0" customHeight="1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ht="12.0" customHeight="1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ht="12.0" customHeight="1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ht="12.0" customHeight="1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ht="12.0" customHeight="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ht="12.0" customHeight="1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ht="12.0" customHeight="1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ht="12.0" customHeight="1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ht="12.0" customHeight="1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ht="12.0" customHeight="1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ht="12.0" customHeight="1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ht="12.0" customHeight="1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ht="12.0" customHeight="1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ht="12.0" customHeight="1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ht="12.0" customHeight="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ht="12.0" customHeight="1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ht="12.0" customHeight="1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ht="12.0" customHeight="1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ht="12.0" customHeight="1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ht="12.0" customHeight="1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ht="12.0" customHeight="1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ht="12.0" customHeight="1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ht="12.0" customHeight="1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ht="12.0" customHeight="1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ht="12.0" customHeight="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ht="12.0" customHeight="1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ht="12.0" customHeight="1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ht="12.0" customHeight="1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ht="12.0" customHeight="1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ht="12.0" customHeight="1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ht="12.0" customHeight="1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ht="12.0" customHeight="1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ht="12.0" customHeight="1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ht="12.0" customHeight="1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mergeCells count="13">
    <mergeCell ref="G4:G5"/>
    <mergeCell ref="H4:H5"/>
    <mergeCell ref="I4:K4"/>
    <mergeCell ref="L4:L5"/>
    <mergeCell ref="L3:P3"/>
    <mergeCell ref="N4:P4"/>
    <mergeCell ref="A3:A6"/>
    <mergeCell ref="B3:F3"/>
    <mergeCell ref="G3:K3"/>
    <mergeCell ref="B4:B5"/>
    <mergeCell ref="C4:C5"/>
    <mergeCell ref="D4:F4"/>
    <mergeCell ref="M4:M5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71"/>
    <col customWidth="1" min="2" max="11" width="10.14"/>
    <col customWidth="1" min="12" max="12" width="10.71"/>
    <col customWidth="1" min="13" max="26" width="9.14"/>
  </cols>
  <sheetData>
    <row r="1" ht="12.0" customHeight="1">
      <c r="A1" s="43" t="s">
        <v>50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ht="12.0" customHeigh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ht="21.75" customHeight="1">
      <c r="A3" s="44"/>
      <c r="B3" s="29" t="s">
        <v>40</v>
      </c>
      <c r="C3" s="25"/>
      <c r="D3" s="29" t="s">
        <v>41</v>
      </c>
      <c r="E3" s="25"/>
      <c r="F3" s="29" t="s">
        <v>51</v>
      </c>
      <c r="G3" s="25"/>
      <c r="H3" s="29" t="s">
        <v>43</v>
      </c>
      <c r="I3" s="25"/>
      <c r="J3" s="29" t="s">
        <v>36</v>
      </c>
      <c r="K3" s="25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16.5" customHeight="1">
      <c r="A4" s="30"/>
      <c r="B4" s="31" t="s">
        <v>38</v>
      </c>
      <c r="C4" s="31" t="s">
        <v>52</v>
      </c>
      <c r="D4" s="31" t="s">
        <v>38</v>
      </c>
      <c r="E4" s="31" t="s">
        <v>52</v>
      </c>
      <c r="F4" s="31" t="s">
        <v>38</v>
      </c>
      <c r="G4" s="31" t="s">
        <v>52</v>
      </c>
      <c r="H4" s="31" t="s">
        <v>38</v>
      </c>
      <c r="I4" s="31" t="s">
        <v>52</v>
      </c>
      <c r="J4" s="31" t="s">
        <v>38</v>
      </c>
      <c r="K4" s="31" t="s">
        <v>52</v>
      </c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ht="12.0" customHeight="1">
      <c r="A5" s="45"/>
      <c r="B5" s="31"/>
      <c r="C5" s="31"/>
      <c r="D5" s="31"/>
      <c r="E5" s="31"/>
      <c r="F5" s="31"/>
      <c r="G5" s="31"/>
      <c r="H5" s="31"/>
      <c r="I5" s="31"/>
      <c r="J5" s="31"/>
      <c r="K5" s="31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12.0" customHeight="1">
      <c r="A6" s="36" t="s">
        <v>53</v>
      </c>
      <c r="B6" s="37">
        <v>13058.46410179159</v>
      </c>
      <c r="C6" s="46">
        <f t="shared" ref="C6:C17" si="1">B6/B$6*100</f>
        <v>100</v>
      </c>
      <c r="D6" s="37">
        <v>1745.832110478955</v>
      </c>
      <c r="E6" s="46">
        <f t="shared" ref="E6:E17" si="2">D6/D$6*100</f>
        <v>100</v>
      </c>
      <c r="F6" s="37">
        <v>529.4804520464761</v>
      </c>
      <c r="G6" s="46">
        <f t="shared" ref="G6:G16" si="3">F6/F$6*100</f>
        <v>100</v>
      </c>
      <c r="H6" s="37">
        <v>1765.1314456623206</v>
      </c>
      <c r="I6" s="46">
        <f t="shared" ref="I6:I16" si="4">H6/H$6*100</f>
        <v>100</v>
      </c>
      <c r="J6" s="37">
        <v>17098.908109979377</v>
      </c>
      <c r="K6" s="46">
        <f t="shared" ref="K6:K17" si="5">J6/J$6*100</f>
        <v>100</v>
      </c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 ht="12.0" customHeight="1">
      <c r="A7" s="32" t="s">
        <v>54</v>
      </c>
      <c r="B7" s="34">
        <v>694.2284771350629</v>
      </c>
      <c r="C7" s="47">
        <f t="shared" si="1"/>
        <v>5.316310339</v>
      </c>
      <c r="D7" s="34">
        <v>118.80551992825264</v>
      </c>
      <c r="E7" s="47">
        <f t="shared" si="2"/>
        <v>6.805094214</v>
      </c>
      <c r="F7" s="34">
        <v>126.87845902009836</v>
      </c>
      <c r="G7" s="47">
        <f t="shared" si="3"/>
        <v>23.96282215</v>
      </c>
      <c r="H7" s="34">
        <v>493.48802585618887</v>
      </c>
      <c r="I7" s="47">
        <f t="shared" si="4"/>
        <v>27.95757942</v>
      </c>
      <c r="J7" s="34">
        <v>1433.4004819396037</v>
      </c>
      <c r="K7" s="47">
        <f t="shared" si="5"/>
        <v>8.38299424</v>
      </c>
      <c r="L7" s="48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12.0" customHeight="1">
      <c r="A8" s="49" t="s">
        <v>55</v>
      </c>
      <c r="B8" s="34">
        <v>547.9432833611472</v>
      </c>
      <c r="C8" s="47">
        <f t="shared" si="1"/>
        <v>4.196077572</v>
      </c>
      <c r="D8" s="34">
        <v>54.999869569676946</v>
      </c>
      <c r="E8" s="47">
        <f t="shared" si="2"/>
        <v>3.150352731</v>
      </c>
      <c r="F8" s="34">
        <v>67.33964629660501</v>
      </c>
      <c r="G8" s="47">
        <f t="shared" si="3"/>
        <v>12.71806089</v>
      </c>
      <c r="H8" s="34">
        <v>281.43234393891976</v>
      </c>
      <c r="I8" s="47">
        <f t="shared" si="4"/>
        <v>15.94398789</v>
      </c>
      <c r="J8" s="34">
        <v>951.7151431663492</v>
      </c>
      <c r="K8" s="47">
        <f t="shared" si="5"/>
        <v>5.565941036</v>
      </c>
      <c r="L8" s="48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12.0" customHeight="1">
      <c r="A9" s="49" t="s">
        <v>56</v>
      </c>
      <c r="B9" s="34">
        <v>1012.6558744028366</v>
      </c>
      <c r="C9" s="47">
        <f t="shared" si="1"/>
        <v>7.754785452</v>
      </c>
      <c r="D9" s="34">
        <v>179.78730319447342</v>
      </c>
      <c r="E9" s="47">
        <f t="shared" si="2"/>
        <v>10.29808663</v>
      </c>
      <c r="F9" s="34">
        <v>91.77051707341155</v>
      </c>
      <c r="G9" s="47">
        <f t="shared" si="3"/>
        <v>17.33218228</v>
      </c>
      <c r="H9" s="34">
        <v>291.0273813477091</v>
      </c>
      <c r="I9" s="47">
        <f t="shared" si="4"/>
        <v>16.48757559</v>
      </c>
      <c r="J9" s="34">
        <v>1575.2410760184293</v>
      </c>
      <c r="K9" s="47">
        <f t="shared" si="5"/>
        <v>9.212524366</v>
      </c>
      <c r="L9" s="48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12.0" customHeight="1">
      <c r="A10" s="49" t="s">
        <v>57</v>
      </c>
      <c r="B10" s="34">
        <v>1192.7070137721814</v>
      </c>
      <c r="C10" s="47">
        <f t="shared" si="1"/>
        <v>9.133593388</v>
      </c>
      <c r="D10" s="34">
        <v>275.867041542685</v>
      </c>
      <c r="E10" s="47">
        <f t="shared" si="2"/>
        <v>15.80146452</v>
      </c>
      <c r="F10" s="34">
        <v>98.05764299607269</v>
      </c>
      <c r="G10" s="47">
        <f t="shared" si="3"/>
        <v>18.51959645</v>
      </c>
      <c r="H10" s="34">
        <v>253.35034314243154</v>
      </c>
      <c r="I10" s="47">
        <f t="shared" si="4"/>
        <v>14.35305817</v>
      </c>
      <c r="J10" s="34">
        <v>1819.9820414533676</v>
      </c>
      <c r="K10" s="47">
        <f t="shared" si="5"/>
        <v>10.64384948</v>
      </c>
      <c r="L10" s="48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12.0" customHeight="1">
      <c r="A11" s="49" t="s">
        <v>58</v>
      </c>
      <c r="B11" s="34">
        <v>2571.4220709351794</v>
      </c>
      <c r="C11" s="47">
        <f t="shared" si="1"/>
        <v>19.6916119</v>
      </c>
      <c r="D11" s="34">
        <v>296.9080053807334</v>
      </c>
      <c r="E11" s="47">
        <f t="shared" si="2"/>
        <v>17.0066757</v>
      </c>
      <c r="F11" s="34">
        <v>63.056838048095415</v>
      </c>
      <c r="G11" s="47">
        <f t="shared" si="3"/>
        <v>11.90919094</v>
      </c>
      <c r="H11" s="34">
        <v>147.79579809902557</v>
      </c>
      <c r="I11" s="47">
        <f t="shared" si="4"/>
        <v>8.373076037</v>
      </c>
      <c r="J11" s="34">
        <v>3079.182712463037</v>
      </c>
      <c r="K11" s="47">
        <f t="shared" si="5"/>
        <v>18.00806632</v>
      </c>
      <c r="L11" s="48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12.0" customHeight="1">
      <c r="A12" s="49" t="s">
        <v>59</v>
      </c>
      <c r="B12" s="34">
        <v>49.89712461108487</v>
      </c>
      <c r="C12" s="47">
        <f t="shared" si="1"/>
        <v>0.3821056153</v>
      </c>
      <c r="D12" s="34">
        <v>2.379244797911402</v>
      </c>
      <c r="E12" s="47">
        <f t="shared" si="2"/>
        <v>0.1362814204</v>
      </c>
      <c r="F12" s="34"/>
      <c r="G12" s="47">
        <f t="shared" si="3"/>
        <v>0</v>
      </c>
      <c r="H12" s="34">
        <v>7.283252543513575</v>
      </c>
      <c r="I12" s="47">
        <f t="shared" si="4"/>
        <v>0.4126181402</v>
      </c>
      <c r="J12" s="34">
        <v>59.55962195250986</v>
      </c>
      <c r="K12" s="47">
        <f t="shared" si="5"/>
        <v>0.3483241244</v>
      </c>
      <c r="L12" s="48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12.0" customHeight="1">
      <c r="A13" s="49" t="s">
        <v>60</v>
      </c>
      <c r="B13" s="34">
        <v>1532.4753460745524</v>
      </c>
      <c r="C13" s="47">
        <f t="shared" si="1"/>
        <v>11.73549457</v>
      </c>
      <c r="D13" s="34">
        <v>191.67154070082887</v>
      </c>
      <c r="E13" s="47">
        <f t="shared" si="2"/>
        <v>10.97880716</v>
      </c>
      <c r="F13" s="34">
        <v>37.71398846379418</v>
      </c>
      <c r="G13" s="47">
        <f t="shared" si="3"/>
        <v>7.122829241</v>
      </c>
      <c r="H13" s="34">
        <v>180.99850287424798</v>
      </c>
      <c r="I13" s="47">
        <f t="shared" si="4"/>
        <v>10.25410903</v>
      </c>
      <c r="J13" s="34">
        <v>1942.8593781134246</v>
      </c>
      <c r="K13" s="47">
        <f t="shared" si="5"/>
        <v>11.36247628</v>
      </c>
      <c r="L13" s="48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12.0" customHeight="1">
      <c r="A14" s="49" t="s">
        <v>61</v>
      </c>
      <c r="B14" s="34">
        <v>1236.4702351841627</v>
      </c>
      <c r="C14" s="47">
        <f t="shared" si="1"/>
        <v>9.46872638</v>
      </c>
      <c r="D14" s="34">
        <v>120.41948099388077</v>
      </c>
      <c r="E14" s="47">
        <f t="shared" si="2"/>
        <v>6.897540736</v>
      </c>
      <c r="F14" s="34">
        <v>31.962066888018906</v>
      </c>
      <c r="G14" s="47">
        <f t="shared" si="3"/>
        <v>6.036496109</v>
      </c>
      <c r="H14" s="34">
        <v>38.56014473016096</v>
      </c>
      <c r="I14" s="47">
        <f t="shared" si="4"/>
        <v>2.184548059</v>
      </c>
      <c r="J14" s="34">
        <v>1427.4119277962245</v>
      </c>
      <c r="K14" s="47">
        <f t="shared" si="5"/>
        <v>8.347971219</v>
      </c>
      <c r="L14" s="48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12.0" customHeight="1">
      <c r="A15" s="49" t="s">
        <v>62</v>
      </c>
      <c r="B15" s="34">
        <v>3391.948241940986</v>
      </c>
      <c r="C15" s="47">
        <f t="shared" si="1"/>
        <v>25.97509336</v>
      </c>
      <c r="D15" s="34">
        <v>444.3018600107405</v>
      </c>
      <c r="E15" s="47">
        <f t="shared" si="2"/>
        <v>25.44928904</v>
      </c>
      <c r="F15" s="34">
        <v>12.701293260379975</v>
      </c>
      <c r="G15" s="47">
        <f t="shared" si="3"/>
        <v>2.398821942</v>
      </c>
      <c r="H15" s="34">
        <v>67.15097648940838</v>
      </c>
      <c r="I15" s="47">
        <f t="shared" si="4"/>
        <v>3.804304583</v>
      </c>
      <c r="J15" s="34">
        <v>3916.102371701522</v>
      </c>
      <c r="K15" s="47">
        <f t="shared" si="5"/>
        <v>22.90264587</v>
      </c>
      <c r="L15" s="48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12.0" customHeight="1">
      <c r="A16" s="49" t="s">
        <v>63</v>
      </c>
      <c r="B16" s="34">
        <v>796.1788302541783</v>
      </c>
      <c r="C16" s="47">
        <f t="shared" si="1"/>
        <v>6.097032729</v>
      </c>
      <c r="D16" s="34">
        <v>56.10625990883766</v>
      </c>
      <c r="E16" s="47">
        <f t="shared" si="2"/>
        <v>3.213725969</v>
      </c>
      <c r="F16" s="34"/>
      <c r="G16" s="47">
        <f t="shared" si="3"/>
        <v>0</v>
      </c>
      <c r="H16" s="34">
        <v>2.553663634599627</v>
      </c>
      <c r="I16" s="47">
        <f t="shared" si="4"/>
        <v>0.1446727178</v>
      </c>
      <c r="J16" s="34">
        <v>854.8387537976154</v>
      </c>
      <c r="K16" s="47">
        <f t="shared" si="5"/>
        <v>4.999376266</v>
      </c>
      <c r="L16" s="48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ht="12.0" customHeight="1">
      <c r="A17" s="32" t="s">
        <v>64</v>
      </c>
      <c r="B17" s="34">
        <v>32.537604120245064</v>
      </c>
      <c r="C17" s="47">
        <f t="shared" si="1"/>
        <v>0.2491686914</v>
      </c>
      <c r="D17" s="34">
        <v>4.58598445093374</v>
      </c>
      <c r="E17" s="47">
        <f t="shared" si="2"/>
        <v>0.2626818709</v>
      </c>
      <c r="F17" s="34"/>
      <c r="G17" s="47"/>
      <c r="H17" s="34">
        <v>1.4910130061179945</v>
      </c>
      <c r="I17" s="47"/>
      <c r="J17" s="34">
        <v>38.614601577296796</v>
      </c>
      <c r="K17" s="47">
        <f t="shared" si="5"/>
        <v>0.2258308035</v>
      </c>
      <c r="L17" s="48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12.0" customHeight="1">
      <c r="A18" s="32"/>
      <c r="B18" s="37"/>
      <c r="C18" s="47"/>
      <c r="D18" s="37"/>
      <c r="E18" s="47"/>
      <c r="F18" s="37"/>
      <c r="G18" s="47"/>
      <c r="H18" s="37"/>
      <c r="I18" s="47"/>
      <c r="J18" s="37"/>
      <c r="K18" s="47"/>
      <c r="L18" s="48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12.0" customHeight="1">
      <c r="A19" s="36" t="s">
        <v>65</v>
      </c>
      <c r="B19" s="37">
        <v>7388.738725495181</v>
      </c>
      <c r="C19" s="46">
        <f t="shared" ref="C19:C30" si="6">B19/B$6*100</f>
        <v>56.58198903</v>
      </c>
      <c r="D19" s="37">
        <v>941.3091179601765</v>
      </c>
      <c r="E19" s="46">
        <f t="shared" ref="E19:E30" si="7">D19/D$6*100</f>
        <v>53.91750514</v>
      </c>
      <c r="F19" s="37">
        <v>337.88119967477303</v>
      </c>
      <c r="G19" s="46">
        <f t="shared" ref="G19:G29" si="8">F19/F$6*100</f>
        <v>63.81372501</v>
      </c>
      <c r="H19" s="37">
        <v>960.7210812750114</v>
      </c>
      <c r="I19" s="46">
        <f t="shared" ref="I19:I28" si="9">H19/H$6*100</f>
        <v>54.42773589</v>
      </c>
      <c r="J19" s="37">
        <v>9628.65012440514</v>
      </c>
      <c r="K19" s="46">
        <f t="shared" ref="K19:K30" si="10">J19/J$6*100</f>
        <v>56.31149113</v>
      </c>
      <c r="L19" s="48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12.0" customHeight="1">
      <c r="A20" s="32" t="s">
        <v>54</v>
      </c>
      <c r="B20" s="34">
        <v>442.6745929906131</v>
      </c>
      <c r="C20" s="47">
        <f t="shared" si="6"/>
        <v>3.389943791</v>
      </c>
      <c r="D20" s="34">
        <v>76.49371416055492</v>
      </c>
      <c r="E20" s="47">
        <f t="shared" si="7"/>
        <v>4.381504596</v>
      </c>
      <c r="F20" s="34">
        <v>84.50021951262823</v>
      </c>
      <c r="G20" s="47">
        <f t="shared" si="8"/>
        <v>15.959082</v>
      </c>
      <c r="H20" s="34">
        <v>333.2072769113279</v>
      </c>
      <c r="I20" s="47">
        <f t="shared" si="9"/>
        <v>18.87719341</v>
      </c>
      <c r="J20" s="34">
        <v>936.8758035751248</v>
      </c>
      <c r="K20" s="47">
        <f t="shared" si="10"/>
        <v>5.479155731</v>
      </c>
      <c r="L20" s="48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12.0" customHeight="1">
      <c r="A21" s="49" t="s">
        <v>55</v>
      </c>
      <c r="B21" s="34">
        <v>223.7396097785921</v>
      </c>
      <c r="C21" s="47">
        <f t="shared" si="6"/>
        <v>1.713368494</v>
      </c>
      <c r="D21" s="34">
        <v>17.493100638466874</v>
      </c>
      <c r="E21" s="47">
        <f t="shared" si="7"/>
        <v>1.001992147</v>
      </c>
      <c r="F21" s="34">
        <v>26.226936569756727</v>
      </c>
      <c r="G21" s="47">
        <f t="shared" si="8"/>
        <v>4.953334248</v>
      </c>
      <c r="H21" s="34">
        <v>134.32834600182707</v>
      </c>
      <c r="I21" s="47">
        <f t="shared" si="9"/>
        <v>7.610104411</v>
      </c>
      <c r="J21" s="34">
        <v>401.7879929886429</v>
      </c>
      <c r="K21" s="47">
        <f t="shared" si="10"/>
        <v>2.349787427</v>
      </c>
      <c r="L21" s="48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12.0" customHeight="1">
      <c r="A22" s="49" t="s">
        <v>56</v>
      </c>
      <c r="B22" s="34">
        <v>480.95864192397676</v>
      </c>
      <c r="C22" s="47">
        <f t="shared" si="6"/>
        <v>3.683118001</v>
      </c>
      <c r="D22" s="34">
        <v>95.19083539930725</v>
      </c>
      <c r="E22" s="47">
        <f t="shared" si="7"/>
        <v>5.452462171</v>
      </c>
      <c r="F22" s="34">
        <v>63.713212504456756</v>
      </c>
      <c r="G22" s="47">
        <f t="shared" si="8"/>
        <v>12.0331567</v>
      </c>
      <c r="H22" s="34">
        <v>127.91278906164231</v>
      </c>
      <c r="I22" s="47">
        <f t="shared" si="9"/>
        <v>7.246643834</v>
      </c>
      <c r="J22" s="34">
        <v>767.7754788893824</v>
      </c>
      <c r="K22" s="47">
        <f t="shared" si="10"/>
        <v>4.490201795</v>
      </c>
      <c r="L22" s="48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12.0" customHeight="1">
      <c r="A23" s="49" t="s">
        <v>57</v>
      </c>
      <c r="B23" s="34">
        <v>365.2500987216309</v>
      </c>
      <c r="C23" s="47">
        <f t="shared" si="6"/>
        <v>2.7970372</v>
      </c>
      <c r="D23" s="34">
        <v>75.97094011551542</v>
      </c>
      <c r="E23" s="47">
        <f t="shared" si="7"/>
        <v>4.351560477</v>
      </c>
      <c r="F23" s="34">
        <v>44.74185360325693</v>
      </c>
      <c r="G23" s="47">
        <f t="shared" si="8"/>
        <v>8.450142669</v>
      </c>
      <c r="H23" s="34">
        <v>22.068974858675716</v>
      </c>
      <c r="I23" s="47">
        <f t="shared" si="9"/>
        <v>1.250273735</v>
      </c>
      <c r="J23" s="34">
        <v>508.031867299079</v>
      </c>
      <c r="K23" s="47">
        <f t="shared" si="10"/>
        <v>2.971136309</v>
      </c>
      <c r="L23" s="48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12.0" customHeight="1">
      <c r="A24" s="49" t="s">
        <v>58</v>
      </c>
      <c r="B24" s="34">
        <v>1299.6308146609515</v>
      </c>
      <c r="C24" s="47">
        <f t="shared" si="6"/>
        <v>9.952401787</v>
      </c>
      <c r="D24" s="34">
        <v>112.01946356189671</v>
      </c>
      <c r="E24" s="47">
        <f t="shared" si="7"/>
        <v>6.416393815</v>
      </c>
      <c r="F24" s="34">
        <v>49.03909060993233</v>
      </c>
      <c r="G24" s="47">
        <f t="shared" si="8"/>
        <v>9.261737694</v>
      </c>
      <c r="H24" s="34">
        <v>72.74068591134524</v>
      </c>
      <c r="I24" s="47">
        <f t="shared" si="9"/>
        <v>4.120978417</v>
      </c>
      <c r="J24" s="34">
        <v>1533.4300547441271</v>
      </c>
      <c r="K24" s="47">
        <f t="shared" si="10"/>
        <v>8.967999856</v>
      </c>
      <c r="L24" s="48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12.0" customHeight="1">
      <c r="A25" s="49" t="s">
        <v>59</v>
      </c>
      <c r="B25" s="34">
        <v>27.404203305030546</v>
      </c>
      <c r="C25" s="47">
        <f t="shared" si="6"/>
        <v>0.2098577834</v>
      </c>
      <c r="D25" s="34">
        <v>2.379244797911402</v>
      </c>
      <c r="E25" s="47">
        <f t="shared" si="7"/>
        <v>0.1362814204</v>
      </c>
      <c r="F25" s="34"/>
      <c r="G25" s="47">
        <f t="shared" si="8"/>
        <v>0</v>
      </c>
      <c r="H25" s="34">
        <v>6.151601569616847</v>
      </c>
      <c r="I25" s="47">
        <f t="shared" si="9"/>
        <v>0.3485067123</v>
      </c>
      <c r="J25" s="34">
        <v>35.9350496725588</v>
      </c>
      <c r="K25" s="47">
        <f t="shared" si="10"/>
        <v>0.2101599087</v>
      </c>
      <c r="L25" s="48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12.0" customHeight="1">
      <c r="A26" s="49" t="s">
        <v>60</v>
      </c>
      <c r="B26" s="34">
        <v>1343.3002890587352</v>
      </c>
      <c r="C26" s="47">
        <f t="shared" si="6"/>
        <v>10.28681688</v>
      </c>
      <c r="D26" s="34">
        <v>162.66140253953964</v>
      </c>
      <c r="E26" s="47">
        <f t="shared" si="7"/>
        <v>9.317127435</v>
      </c>
      <c r="F26" s="34">
        <v>34.51151885477721</v>
      </c>
      <c r="G26" s="47">
        <f t="shared" si="8"/>
        <v>6.517996787</v>
      </c>
      <c r="H26" s="34">
        <v>168.03642603653174</v>
      </c>
      <c r="I26" s="47">
        <f t="shared" si="9"/>
        <v>9.519768426</v>
      </c>
      <c r="J26" s="34">
        <v>1708.5096364895846</v>
      </c>
      <c r="K26" s="47">
        <f t="shared" si="10"/>
        <v>9.99192244</v>
      </c>
      <c r="L26" s="48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12.0" customHeight="1">
      <c r="A27" s="49" t="s">
        <v>61</v>
      </c>
      <c r="B27" s="34">
        <v>1098.4973231046413</v>
      </c>
      <c r="C27" s="47">
        <f t="shared" si="6"/>
        <v>8.412147972</v>
      </c>
      <c r="D27" s="34">
        <v>105.06543859179178</v>
      </c>
      <c r="E27" s="47">
        <f t="shared" si="7"/>
        <v>6.018072297</v>
      </c>
      <c r="F27" s="34">
        <v>24.956450207000728</v>
      </c>
      <c r="G27" s="47">
        <f t="shared" si="8"/>
        <v>4.713384623</v>
      </c>
      <c r="H27" s="34">
        <v>33.981098307431665</v>
      </c>
      <c r="I27" s="47">
        <f t="shared" si="9"/>
        <v>1.92513132</v>
      </c>
      <c r="J27" s="34">
        <v>1262.5003102108665</v>
      </c>
      <c r="K27" s="47">
        <f t="shared" si="10"/>
        <v>7.383514211</v>
      </c>
      <c r="L27" s="48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12.0" customHeight="1">
      <c r="A28" s="49" t="s">
        <v>62</v>
      </c>
      <c r="B28" s="34">
        <v>2047.5587673425725</v>
      </c>
      <c r="C28" s="47">
        <f t="shared" si="6"/>
        <v>15.67993564</v>
      </c>
      <c r="D28" s="34">
        <v>288.6297488144533</v>
      </c>
      <c r="E28" s="47">
        <f t="shared" si="7"/>
        <v>16.53250316</v>
      </c>
      <c r="F28" s="34">
        <v>10.191917812964121</v>
      </c>
      <c r="G28" s="47">
        <f t="shared" si="8"/>
        <v>1.924890291</v>
      </c>
      <c r="H28" s="34">
        <v>60.802869610494945</v>
      </c>
      <c r="I28" s="47">
        <f t="shared" si="9"/>
        <v>3.444665255</v>
      </c>
      <c r="J28" s="34">
        <v>2407.18330358049</v>
      </c>
      <c r="K28" s="47">
        <f t="shared" si="10"/>
        <v>14.07799427</v>
      </c>
      <c r="L28" s="48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12.0" customHeight="1">
      <c r="A29" s="49" t="s">
        <v>63</v>
      </c>
      <c r="B29" s="34">
        <v>40.48668908358823</v>
      </c>
      <c r="C29" s="47">
        <f t="shared" si="6"/>
        <v>0.3100417382</v>
      </c>
      <c r="D29" s="34">
        <v>1.5030629845994554</v>
      </c>
      <c r="E29" s="47">
        <f t="shared" si="7"/>
        <v>0.08609436014</v>
      </c>
      <c r="F29" s="34"/>
      <c r="G29" s="47">
        <f t="shared" si="8"/>
        <v>0</v>
      </c>
      <c r="H29" s="34"/>
      <c r="I29" s="47"/>
      <c r="J29" s="34">
        <v>41.98975206818769</v>
      </c>
      <c r="K29" s="47">
        <f t="shared" si="10"/>
        <v>0.2455697861</v>
      </c>
      <c r="L29" s="48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ht="12.0" customHeight="1">
      <c r="A30" s="32" t="s">
        <v>64</v>
      </c>
      <c r="B30" s="34">
        <v>19.23769552483662</v>
      </c>
      <c r="C30" s="47">
        <f t="shared" si="6"/>
        <v>0.1473197412</v>
      </c>
      <c r="D30" s="34">
        <v>3.9021663561410396</v>
      </c>
      <c r="E30" s="47">
        <f t="shared" si="7"/>
        <v>0.2235132653</v>
      </c>
      <c r="F30" s="34"/>
      <c r="G30" s="47"/>
      <c r="H30" s="34">
        <v>1.4910130061179945</v>
      </c>
      <c r="I30" s="47"/>
      <c r="J30" s="34">
        <v>24.630874887095654</v>
      </c>
      <c r="K30" s="47">
        <f t="shared" si="10"/>
        <v>0.144049402</v>
      </c>
      <c r="L30" s="48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12.0" customHeight="1">
      <c r="A31" s="32"/>
      <c r="B31" s="34"/>
      <c r="C31" s="47"/>
      <c r="D31" s="34"/>
      <c r="E31" s="47"/>
      <c r="F31" s="34"/>
      <c r="G31" s="47"/>
      <c r="H31" s="34"/>
      <c r="I31" s="47"/>
      <c r="J31" s="34"/>
      <c r="K31" s="47"/>
      <c r="L31" s="48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12.0" customHeight="1">
      <c r="A32" s="36" t="s">
        <v>66</v>
      </c>
      <c r="B32" s="37">
        <v>5669.725376296442</v>
      </c>
      <c r="C32" s="46">
        <f t="shared" ref="C32:C43" si="11">B32/B$6*100</f>
        <v>43.41801097</v>
      </c>
      <c r="D32" s="37">
        <v>804.5229925187756</v>
      </c>
      <c r="E32" s="46">
        <f t="shared" ref="E32:E43" si="12">D32/D$6*100</f>
        <v>46.08249486</v>
      </c>
      <c r="F32" s="37">
        <v>191.59925237170296</v>
      </c>
      <c r="G32" s="46">
        <f t="shared" ref="G32:G41" si="13">F32/F$6*100</f>
        <v>36.18627499</v>
      </c>
      <c r="H32" s="37">
        <v>804.4103643873125</v>
      </c>
      <c r="I32" s="46">
        <f t="shared" ref="I32:I42" si="14">H32/H$6*100</f>
        <v>45.57226411</v>
      </c>
      <c r="J32" s="37">
        <v>7470.257985574241</v>
      </c>
      <c r="K32" s="46">
        <f t="shared" ref="K32:K43" si="15">J32/J$6*100</f>
        <v>43.68850887</v>
      </c>
      <c r="L32" s="48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 ht="12.0" customHeight="1">
      <c r="A33" s="32" t="s">
        <v>54</v>
      </c>
      <c r="B33" s="34">
        <v>251.55388414444994</v>
      </c>
      <c r="C33" s="47">
        <f t="shared" si="11"/>
        <v>1.926366548</v>
      </c>
      <c r="D33" s="34">
        <v>42.31180576769777</v>
      </c>
      <c r="E33" s="47">
        <f t="shared" si="12"/>
        <v>2.423589617</v>
      </c>
      <c r="F33" s="34">
        <v>42.37823950747011</v>
      </c>
      <c r="G33" s="47">
        <f t="shared" si="13"/>
        <v>8.003740146</v>
      </c>
      <c r="H33" s="34">
        <v>160.28074894486116</v>
      </c>
      <c r="I33" s="47">
        <f t="shared" si="14"/>
        <v>9.080386015</v>
      </c>
      <c r="J33" s="34">
        <v>496.52467836447886</v>
      </c>
      <c r="K33" s="47">
        <f t="shared" si="15"/>
        <v>2.903838509</v>
      </c>
      <c r="L33" s="48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12.0" customHeight="1">
      <c r="A34" s="49" t="s">
        <v>55</v>
      </c>
      <c r="B34" s="34">
        <v>324.20367358255527</v>
      </c>
      <c r="C34" s="47">
        <f t="shared" si="11"/>
        <v>2.482709077</v>
      </c>
      <c r="D34" s="34">
        <v>37.506768931210075</v>
      </c>
      <c r="E34" s="47">
        <f t="shared" si="12"/>
        <v>2.148360584</v>
      </c>
      <c r="F34" s="34">
        <v>41.11270972684829</v>
      </c>
      <c r="G34" s="47">
        <f t="shared" si="13"/>
        <v>7.764726642</v>
      </c>
      <c r="H34" s="34">
        <v>147.10399793709277</v>
      </c>
      <c r="I34" s="47">
        <f t="shared" si="14"/>
        <v>8.333883479</v>
      </c>
      <c r="J34" s="34">
        <v>549.9271501777063</v>
      </c>
      <c r="K34" s="47">
        <f t="shared" si="15"/>
        <v>3.216153608</v>
      </c>
      <c r="L34" s="48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12.0" customHeight="1">
      <c r="A35" s="49" t="s">
        <v>56</v>
      </c>
      <c r="B35" s="34">
        <v>531.6972324788597</v>
      </c>
      <c r="C35" s="47">
        <f t="shared" si="11"/>
        <v>4.071667451</v>
      </c>
      <c r="D35" s="34">
        <v>84.59646779516616</v>
      </c>
      <c r="E35" s="47">
        <f t="shared" si="12"/>
        <v>4.845624461</v>
      </c>
      <c r="F35" s="34">
        <v>28.057304568954795</v>
      </c>
      <c r="G35" s="47">
        <f t="shared" si="13"/>
        <v>5.299025575</v>
      </c>
      <c r="H35" s="34">
        <v>163.1145922860669</v>
      </c>
      <c r="I35" s="47">
        <f t="shared" si="14"/>
        <v>9.240931755</v>
      </c>
      <c r="J35" s="34">
        <v>807.465597129047</v>
      </c>
      <c r="K35" s="47">
        <f t="shared" si="15"/>
        <v>4.722322571</v>
      </c>
      <c r="L35" s="48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12.0" customHeight="1">
      <c r="A36" s="49" t="s">
        <v>57</v>
      </c>
      <c r="B36" s="34">
        <v>827.4569150505494</v>
      </c>
      <c r="C36" s="47">
        <f t="shared" si="11"/>
        <v>6.336556188</v>
      </c>
      <c r="D36" s="34">
        <v>199.89610142716955</v>
      </c>
      <c r="E36" s="47">
        <f t="shared" si="12"/>
        <v>11.44990404</v>
      </c>
      <c r="F36" s="34">
        <v>53.31578939281577</v>
      </c>
      <c r="G36" s="47">
        <f t="shared" si="13"/>
        <v>10.06945378</v>
      </c>
      <c r="H36" s="34">
        <v>231.28136828375585</v>
      </c>
      <c r="I36" s="47">
        <f t="shared" si="14"/>
        <v>13.10278443</v>
      </c>
      <c r="J36" s="34">
        <v>1311.9501741542886</v>
      </c>
      <c r="K36" s="47">
        <f t="shared" si="15"/>
        <v>7.672713168</v>
      </c>
      <c r="L36" s="48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ht="12.0" customHeight="1">
      <c r="A37" s="49" t="s">
        <v>58</v>
      </c>
      <c r="B37" s="34">
        <v>1271.7912562742295</v>
      </c>
      <c r="C37" s="47">
        <f t="shared" si="11"/>
        <v>9.739210112</v>
      </c>
      <c r="D37" s="34">
        <v>184.88854181883667</v>
      </c>
      <c r="E37" s="47">
        <f t="shared" si="12"/>
        <v>10.59028189</v>
      </c>
      <c r="F37" s="34">
        <v>14.017747438163088</v>
      </c>
      <c r="G37" s="47">
        <f t="shared" si="13"/>
        <v>2.64745325</v>
      </c>
      <c r="H37" s="34">
        <v>75.05511218768032</v>
      </c>
      <c r="I37" s="47">
        <f t="shared" si="14"/>
        <v>4.25209762</v>
      </c>
      <c r="J37" s="34">
        <v>1545.75265771891</v>
      </c>
      <c r="K37" s="47">
        <f t="shared" si="15"/>
        <v>9.040066464</v>
      </c>
      <c r="L37" s="48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ht="12.0" customHeight="1">
      <c r="A38" s="49" t="s">
        <v>59</v>
      </c>
      <c r="B38" s="34">
        <v>22.49292130605434</v>
      </c>
      <c r="C38" s="47">
        <f t="shared" si="11"/>
        <v>0.172247832</v>
      </c>
      <c r="D38" s="34"/>
      <c r="E38" s="47">
        <f t="shared" si="12"/>
        <v>0</v>
      </c>
      <c r="F38" s="34"/>
      <c r="G38" s="47">
        <f t="shared" si="13"/>
        <v>0</v>
      </c>
      <c r="H38" s="34">
        <v>1.131650973896727</v>
      </c>
      <c r="I38" s="47">
        <f t="shared" si="14"/>
        <v>0.06411142789</v>
      </c>
      <c r="J38" s="34">
        <v>23.624572279951064</v>
      </c>
      <c r="K38" s="47">
        <f t="shared" si="15"/>
        <v>0.1381642157</v>
      </c>
      <c r="L38" s="48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12.0" customHeight="1">
      <c r="A39" s="49" t="s">
        <v>60</v>
      </c>
      <c r="B39" s="34">
        <v>189.17505701581752</v>
      </c>
      <c r="C39" s="47">
        <f t="shared" si="11"/>
        <v>1.448677697</v>
      </c>
      <c r="D39" s="34">
        <v>29.010138161289255</v>
      </c>
      <c r="E39" s="47">
        <f t="shared" si="12"/>
        <v>1.661679722</v>
      </c>
      <c r="F39" s="34">
        <v>3.202469609016971</v>
      </c>
      <c r="G39" s="47">
        <f t="shared" si="13"/>
        <v>0.6048324535</v>
      </c>
      <c r="H39" s="34">
        <v>12.962076837716197</v>
      </c>
      <c r="I39" s="47">
        <f t="shared" si="14"/>
        <v>0.7343405994</v>
      </c>
      <c r="J39" s="34">
        <v>234.34974162383995</v>
      </c>
      <c r="K39" s="47">
        <f t="shared" si="15"/>
        <v>1.37055384</v>
      </c>
      <c r="L39" s="48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ht="12.0" customHeight="1">
      <c r="A40" s="49" t="s">
        <v>61</v>
      </c>
      <c r="B40" s="34">
        <v>137.97291207952162</v>
      </c>
      <c r="C40" s="47">
        <f t="shared" si="11"/>
        <v>1.056578408</v>
      </c>
      <c r="D40" s="34">
        <v>15.35404240208898</v>
      </c>
      <c r="E40" s="47">
        <f t="shared" si="12"/>
        <v>0.8794684386</v>
      </c>
      <c r="F40" s="34">
        <v>7.0056166810181795</v>
      </c>
      <c r="G40" s="47">
        <f t="shared" si="13"/>
        <v>1.323111487</v>
      </c>
      <c r="H40" s="34">
        <v>4.5790464227292915</v>
      </c>
      <c r="I40" s="47">
        <f t="shared" si="14"/>
        <v>0.2594167383</v>
      </c>
      <c r="J40" s="34">
        <v>164.91161758535804</v>
      </c>
      <c r="K40" s="47">
        <f t="shared" si="15"/>
        <v>0.9644570082</v>
      </c>
      <c r="L40" s="48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ht="12.0" customHeight="1">
      <c r="A41" s="49" t="s">
        <v>62</v>
      </c>
      <c r="B41" s="34">
        <v>1344.389474598415</v>
      </c>
      <c r="C41" s="47">
        <f t="shared" si="11"/>
        <v>10.29515772</v>
      </c>
      <c r="D41" s="34">
        <v>155.6721111962869</v>
      </c>
      <c r="E41" s="47">
        <f t="shared" si="12"/>
        <v>8.916785885</v>
      </c>
      <c r="F41" s="34">
        <v>2.509375447415855</v>
      </c>
      <c r="G41" s="47">
        <f t="shared" si="13"/>
        <v>0.4739316509</v>
      </c>
      <c r="H41" s="34">
        <v>6.348106878913438</v>
      </c>
      <c r="I41" s="47">
        <f t="shared" si="14"/>
        <v>0.3596393285</v>
      </c>
      <c r="J41" s="34">
        <v>1508.919068121032</v>
      </c>
      <c r="K41" s="47">
        <f t="shared" si="15"/>
        <v>8.8246516</v>
      </c>
      <c r="L41" s="48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ht="12.0" customHeight="1">
      <c r="A42" s="49" t="s">
        <v>63</v>
      </c>
      <c r="B42" s="34">
        <v>755.6921411705899</v>
      </c>
      <c r="C42" s="47">
        <f t="shared" si="11"/>
        <v>5.786990991</v>
      </c>
      <c r="D42" s="34">
        <v>54.603196924238205</v>
      </c>
      <c r="E42" s="47">
        <f t="shared" si="12"/>
        <v>3.127631609</v>
      </c>
      <c r="F42" s="34"/>
      <c r="G42" s="47"/>
      <c r="H42" s="34">
        <v>2.553663634599627</v>
      </c>
      <c r="I42" s="47">
        <f t="shared" si="14"/>
        <v>0.1446727178</v>
      </c>
      <c r="J42" s="34">
        <v>812.8490017294276</v>
      </c>
      <c r="K42" s="47">
        <f t="shared" si="15"/>
        <v>4.75380648</v>
      </c>
      <c r="L42" s="48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ht="12.0" customHeight="1">
      <c r="A43" s="32" t="s">
        <v>64</v>
      </c>
      <c r="B43" s="34">
        <v>13.29990859540844</v>
      </c>
      <c r="C43" s="47">
        <f t="shared" si="11"/>
        <v>0.1018489502</v>
      </c>
      <c r="D43" s="34">
        <v>0.6838180947927</v>
      </c>
      <c r="E43" s="47">
        <f t="shared" si="12"/>
        <v>0.03916860566</v>
      </c>
      <c r="F43" s="34"/>
      <c r="G43" s="47"/>
      <c r="H43" s="34"/>
      <c r="I43" s="47"/>
      <c r="J43" s="34">
        <v>13.98372669020114</v>
      </c>
      <c r="K43" s="47">
        <f t="shared" si="15"/>
        <v>0.08178140148</v>
      </c>
      <c r="L43" s="48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ht="12.0" customHeight="1">
      <c r="A44" s="50" t="s">
        <v>67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ht="12.0" customHeight="1">
      <c r="A45" s="50" t="s">
        <v>68</v>
      </c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ht="12.0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ht="12.0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ht="12.0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12.0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ht="12.0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ht="12.0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ht="12.0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ht="12.0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ht="12.0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ht="12.0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ht="12.0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ht="12.0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ht="12.0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ht="12.0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ht="12.0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ht="12.0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12.0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12.0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ht="12.0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ht="12.0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ht="12.0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12.0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ht="12.0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12.0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ht="12.0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ht="12.0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ht="12.0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12.0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ht="12.0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12.0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12.0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ht="12.0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ht="12.0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ht="12.0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ht="12.0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ht="12.0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ht="12.0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ht="12.0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ht="12.0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ht="12.0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ht="12.0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ht="12.0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ht="12.0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ht="12.0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ht="12.0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ht="12.0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ht="12.0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ht="12.0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ht="12.0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ht="12.0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ht="12.0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ht="12.0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ht="12.0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ht="12.0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ht="12.0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ht="12.0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ht="12.0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ht="12.0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ht="12.0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ht="12.0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ht="12.0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ht="12.0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ht="12.0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ht="12.0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ht="12.0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ht="12.0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ht="12.0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ht="12.0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ht="12.0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ht="12.0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ht="12.0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ht="12.0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ht="12.0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ht="12.0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ht="12.0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ht="12.0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ht="12.0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ht="12.0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ht="12.0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ht="12.0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ht="12.0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ht="12.0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ht="12.0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ht="12.0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ht="12.0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ht="12.0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ht="12.0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ht="12.0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ht="12.0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ht="12.0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ht="12.0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ht="12.0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ht="12.0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ht="12.0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ht="12.0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ht="12.0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ht="12.0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ht="12.0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ht="12.0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ht="12.0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ht="12.0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ht="12.0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ht="12.0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ht="12.0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ht="12.0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ht="12.0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ht="12.0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ht="12.0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ht="12.0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ht="12.0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ht="12.0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ht="12.0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ht="12.0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ht="12.0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ht="12.0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ht="12.0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ht="12.0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ht="12.0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ht="12.0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ht="12.0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ht="12.0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ht="12.0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ht="12.0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ht="12.0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ht="12.0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ht="12.0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ht="12.0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ht="12.0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ht="12.0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ht="12.0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ht="12.0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ht="12.0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ht="12.0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ht="12.0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ht="12.0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ht="12.0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ht="12.0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ht="12.0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ht="12.0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ht="12.0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ht="12.0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ht="12.0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ht="12.0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ht="12.0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ht="12.0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ht="12.0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ht="12.0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ht="12.0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ht="12.0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ht="12.0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ht="12.0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ht="12.0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ht="12.0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ht="12.0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ht="12.0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ht="12.0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ht="12.0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ht="12.0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ht="12.0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ht="12.0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ht="12.0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ht="12.0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ht="12.0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ht="12.0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ht="12.0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ht="12.0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ht="12.0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ht="12.0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ht="12.0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ht="12.0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ht="12.0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ht="12.0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ht="12.0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ht="12.0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ht="12.0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ht="12.0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ht="12.0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ht="12.0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ht="12.0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ht="12.0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ht="12.0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ht="12.0" customHeight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ht="12.0" customHeight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ht="12.0" customHeight="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ht="12.0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ht="12.0" customHeight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ht="12.0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ht="12.0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ht="12.0" customHeight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ht="12.0" customHeight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ht="12.0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ht="12.0" customHeight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ht="12.0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ht="12.0" customHeight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ht="12.0" customHeight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ht="12.0" customHeight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ht="12.0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ht="12.0" customHeight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ht="12.0" customHeight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ht="12.0" customHeight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ht="12.0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ht="12.0" customHeight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ht="12.0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ht="12.0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ht="12.0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ht="12.0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ht="12.0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ht="12.0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ht="12.0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ht="12.0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ht="12.0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ht="12.0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ht="12.0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ht="12.0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ht="12.0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ht="12.0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ht="12.0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ht="12.0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ht="12.0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ht="12.0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ht="12.0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ht="12.0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ht="12.0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ht="12.0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ht="12.0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ht="12.0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ht="12.0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ht="12.0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ht="12.0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ht="12.0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ht="12.0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ht="12.0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ht="12.0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ht="12.0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ht="12.0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ht="12.0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ht="12.0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ht="12.0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ht="12.0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ht="12.0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ht="12.0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ht="12.0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ht="12.0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ht="12.0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ht="12.0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ht="12.0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ht="12.0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ht="12.0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ht="12.0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ht="12.0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ht="12.0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ht="12.0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ht="12.0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ht="12.0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ht="12.0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ht="12.0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ht="12.0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ht="12.0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ht="12.0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ht="12.0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ht="12.0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ht="12.0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ht="12.0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ht="12.0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ht="12.0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ht="12.0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ht="12.0" customHeight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ht="12.0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ht="12.0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ht="12.0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ht="12.0" customHeight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ht="12.0" customHeight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ht="12.0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ht="12.0" customHeight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ht="12.0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ht="12.0" customHeight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ht="12.0" customHeight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ht="12.0" customHeight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ht="12.0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ht="12.0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ht="12.0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ht="12.0" customHeight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ht="12.0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ht="12.0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ht="12.0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ht="12.0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ht="12.0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ht="12.0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ht="12.0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ht="12.0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ht="12.0" customHeight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ht="12.0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ht="12.0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ht="12.0" customHeight="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ht="12.0" customHeight="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ht="12.0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ht="12.0" customHeight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ht="12.0" customHeight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ht="12.0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ht="12.0" customHeight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ht="12.0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ht="12.0" customHeight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ht="12.0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ht="12.0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ht="12.0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ht="12.0" customHeight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ht="12.0" customHeight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ht="12.0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ht="12.0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ht="12.0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ht="12.0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ht="12.0" customHeight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ht="12.0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ht="12.0" customHeigh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ht="12.0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ht="12.0" customHeight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ht="12.0" customHeight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ht="12.0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ht="12.0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ht="12.0" customHeight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ht="12.0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ht="12.0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ht="12.0" customHeight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ht="12.0" customHeigh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ht="12.0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ht="12.0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ht="12.0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ht="12.0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ht="12.0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ht="12.0" customHeight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ht="12.0" customHeight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ht="12.0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ht="12.0" customHeight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ht="12.0" customHeight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ht="12.0" customHeight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ht="12.0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ht="12.0" customHeight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ht="12.0" customHeight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ht="12.0" customHeight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ht="12.0" customHeight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ht="12.0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ht="12.0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ht="12.0" customHeight="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ht="12.0" customHeight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ht="12.0" customHeight="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ht="12.0" customHeight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ht="12.0" customHeight="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ht="12.0" customHeight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ht="12.0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ht="12.0" customHeight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ht="12.0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ht="12.0" customHeigh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ht="12.0" customHeight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ht="12.0" customHeight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ht="12.0" customHeight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ht="12.0" customHeight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ht="12.0" customHeight="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ht="12.0" customHeight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ht="12.0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ht="12.0" customHeight="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ht="12.0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ht="12.0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ht="12.0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ht="12.0" customHeigh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ht="12.0" customHeight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ht="12.0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ht="12.0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ht="12.0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ht="12.0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ht="12.0" customHeight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ht="12.0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ht="12.0" customHeight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ht="12.0" customHeight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ht="12.0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ht="12.0" customHeight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ht="12.0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ht="12.0" customHeight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ht="12.0" customHeight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ht="12.0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ht="12.0" customHeigh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ht="12.0" customHeight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ht="12.0" customHeight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ht="12.0" customHeight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ht="12.0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ht="12.0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ht="12.0" customHeight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ht="12.0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ht="12.0" customHeight="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ht="12.0" customHeight="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ht="12.0" customHeight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ht="12.0" customHeight="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ht="12.0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ht="12.0" customHeight="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ht="12.0" customHeight="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ht="12.0" customHeight="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ht="12.0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ht="12.0" customHeight="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ht="12.0" customHeight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ht="12.0" customHeight="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ht="12.0" customHeight="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ht="12.0" customHeight="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ht="12.0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ht="12.0" customHeight="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ht="12.0" customHeight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ht="12.0" customHeight="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ht="12.0" customHeight="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ht="12.0" customHeight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ht="12.0" customHeight="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ht="12.0" customHeight="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ht="12.0" customHeight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ht="12.0" customHeight="1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ht="12.0" customHeight="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ht="12.0" customHeight="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ht="12.0" customHeight="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ht="12.0" customHeight="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ht="12.0" customHeight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ht="12.0" customHeight="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ht="12.0" customHeight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ht="12.0" customHeight="1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ht="12.0" customHeight="1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ht="12.0" customHeight="1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ht="12.0" customHeight="1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ht="12.0" customHeight="1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ht="12.0" customHeight="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ht="12.0" customHeight="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ht="12.0" customHeight="1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ht="12.0" customHeight="1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ht="12.0" customHeight="1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ht="12.0" customHeight="1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ht="12.0" customHeight="1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ht="12.0" customHeight="1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ht="12.0" customHeight="1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ht="12.0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ht="12.0" customHeight="1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ht="12.0" customHeight="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ht="12.0" customHeight="1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ht="12.0" customHeight="1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ht="12.0" customHeight="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ht="12.0" customHeight="1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ht="12.0" customHeight="1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ht="12.0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ht="12.0" customHeight="1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ht="12.0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ht="12.0" customHeight="1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ht="12.0" customHeight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ht="12.0" customHeight="1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ht="12.0" customHeight="1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ht="12.0" customHeight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ht="12.0" customHeight="1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ht="12.0" customHeigh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ht="12.0" customHeight="1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ht="12.0" customHeight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ht="12.0" customHeight="1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ht="12.0" customHeight="1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ht="12.0" customHeight="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ht="12.0" customHeight="1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ht="12.0" customHeight="1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ht="12.0" customHeight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ht="12.0" customHeight="1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ht="12.0" customHeight="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ht="12.0" customHeight="1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ht="12.0" customHeight="1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ht="12.0" customHeight="1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ht="12.0" customHeight="1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ht="12.0" customHeight="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ht="12.0" customHeight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ht="12.0" customHeight="1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ht="12.0" customHeight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ht="12.0" customHeight="1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ht="12.0" customHeight="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ht="12.0" customHeight="1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ht="12.0" customHeight="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ht="12.0" customHeight="1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ht="12.0" customHeight="1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ht="12.0" customHeight="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ht="12.0" customHeight="1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ht="12.0" customHeight="1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ht="12.0" customHeight="1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ht="12.0" customHeight="1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ht="12.0" customHeight="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ht="12.0" customHeight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ht="12.0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ht="12.0" customHeight="1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ht="12.0" customHeight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ht="12.0" customHeight="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ht="12.0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ht="12.0" customHeight="1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ht="12.0" customHeight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ht="12.0" customHeight="1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ht="12.0" customHeight="1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ht="12.0" customHeight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ht="12.0" customHeight="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ht="12.0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ht="12.0" customHeight="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ht="12.0" customHeight="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ht="12.0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ht="12.0" customHeight="1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ht="12.0" customHeight="1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ht="12.0" customHeight="1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ht="12.0" customHeight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ht="12.0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ht="12.0" customHeight="1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ht="12.0" customHeight="1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ht="12.0" customHeight="1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ht="12.0" customHeight="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ht="12.0" customHeight="1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ht="12.0" customHeight="1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ht="12.0" customHeight="1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ht="12.0" customHeight="1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ht="12.0" customHeight="1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ht="12.0" customHeight="1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ht="12.0" customHeight="1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ht="12.0" customHeight="1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ht="12.0" customHeight="1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ht="12.0" customHeight="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ht="12.0" customHeight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ht="12.0" customHeight="1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ht="12.0" customHeight="1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ht="12.0" customHeight="1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ht="12.0" customHeight="1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ht="12.0" customHeight="1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ht="12.0" customHeight="1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ht="12.0" customHeight="1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ht="12.0" customHeight="1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ht="12.0" customHeight="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ht="12.0" customHeight="1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ht="12.0" customHeight="1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ht="12.0" customHeight="1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ht="12.0" customHeight="1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ht="12.0" customHeight="1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ht="12.0" customHeight="1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ht="12.0" customHeight="1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ht="12.0" customHeight="1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ht="12.0" customHeight="1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ht="12.0" customHeight="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ht="12.0" customHeight="1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ht="12.0" customHeight="1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ht="12.0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ht="12.0" customHeight="1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ht="12.0" customHeight="1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ht="12.0" customHeight="1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ht="12.0" customHeight="1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ht="12.0" customHeight="1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ht="12.0" customHeight="1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ht="12.0" customHeight="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ht="12.0" customHeight="1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ht="12.0" customHeight="1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ht="12.0" customHeight="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ht="12.0" customHeight="1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ht="12.0" customHeight="1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ht="12.0" customHeight="1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ht="12.0" customHeight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ht="12.0" customHeight="1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ht="12.0" customHeight="1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ht="12.0" customHeight="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ht="12.0" customHeight="1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ht="12.0" customHeight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ht="12.0" customHeight="1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ht="12.0" customHeight="1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ht="12.0" customHeight="1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ht="12.0" customHeight="1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ht="12.0" customHeight="1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ht="12.0" customHeight="1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ht="12.0" customHeight="1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ht="12.0" customHeight="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ht="12.0" customHeight="1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ht="12.0" customHeight="1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ht="12.0" customHeight="1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ht="12.0" customHeight="1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ht="12.0" customHeight="1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ht="12.0" customHeight="1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ht="12.0" customHeight="1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ht="12.0" customHeight="1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ht="12.0" customHeight="1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ht="12.0" customHeight="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ht="12.0" customHeight="1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ht="12.0" customHeight="1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ht="12.0" customHeight="1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ht="12.0" customHeight="1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ht="12.0" customHeight="1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ht="12.0" customHeight="1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ht="12.0" customHeight="1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ht="12.0" customHeight="1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ht="12.0" customHeight="1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ht="12.0" customHeight="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ht="12.0" customHeight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ht="12.0" customHeight="1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ht="12.0" customHeight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ht="12.0" customHeight="1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ht="12.0" customHeight="1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ht="12.0" customHeight="1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ht="12.0" customHeight="1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ht="12.0" customHeight="1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ht="12.0" customHeight="1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ht="12.0" customHeight="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ht="12.0" customHeight="1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ht="12.0" customHeight="1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ht="12.0" customHeight="1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ht="12.0" customHeight="1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ht="12.0" customHeight="1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ht="12.0" customHeight="1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ht="12.0" customHeight="1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ht="12.0" customHeight="1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ht="12.0" customHeight="1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ht="12.0" customHeight="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ht="12.0" customHeight="1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ht="12.0" customHeight="1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ht="12.0" customHeight="1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ht="12.0" customHeight="1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ht="12.0" customHeight="1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ht="12.0" customHeight="1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ht="12.0" customHeight="1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ht="12.0" customHeight="1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ht="12.0" customHeight="1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ht="12.0" customHeight="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ht="12.0" customHeight="1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ht="12.0" customHeight="1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ht="12.0" customHeight="1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ht="12.0" customHeight="1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ht="12.0" customHeight="1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ht="12.0" customHeight="1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ht="12.0" customHeight="1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ht="12.0" customHeight="1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ht="12.0" customHeight="1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ht="12.0" customHeight="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ht="12.0" customHeight="1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ht="12.0" customHeight="1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ht="12.0" customHeight="1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ht="12.0" customHeight="1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ht="12.0" customHeight="1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ht="12.0" customHeight="1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ht="12.0" customHeight="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ht="12.0" customHeight="1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ht="12.0" customHeight="1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ht="12.0" customHeight="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ht="12.0" customHeight="1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ht="12.0" customHeight="1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ht="12.0" customHeight="1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ht="12.0" customHeight="1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ht="12.0" customHeight="1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ht="12.0" customHeight="1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ht="12.0" customHeight="1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ht="12.0" customHeight="1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ht="12.0" customHeight="1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ht="12.0" customHeight="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ht="12.0" customHeight="1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ht="12.0" customHeight="1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ht="12.0" customHeight="1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ht="12.0" customHeight="1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ht="12.0" customHeight="1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ht="12.0" customHeight="1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ht="12.0" customHeight="1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ht="12.0" customHeight="1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ht="12.0" customHeight="1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ht="12.0" customHeight="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ht="12.0" customHeight="1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ht="12.0" customHeight="1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ht="12.0" customHeight="1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ht="12.0" customHeight="1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ht="12.0" customHeight="1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ht="12.0" customHeight="1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ht="12.0" customHeight="1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ht="12.0" customHeight="1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ht="12.0" customHeight="1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ht="12.0" customHeight="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ht="12.0" customHeight="1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ht="12.0" customHeight="1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ht="12.0" customHeight="1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ht="12.0" customHeight="1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ht="12.0" customHeight="1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ht="12.0" customHeight="1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ht="12.0" customHeight="1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ht="12.0" customHeight="1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ht="12.0" customHeight="1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ht="12.0" customHeight="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ht="12.0" customHeight="1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ht="12.0" customHeight="1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ht="12.0" customHeight="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ht="12.0" customHeight="1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ht="12.0" customHeight="1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ht="12.0" customHeight="1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ht="12.0" customHeight="1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ht="12.0" customHeight="1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ht="12.0" customHeight="1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ht="12.0" customHeight="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ht="12.0" customHeight="1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ht="12.0" customHeight="1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ht="12.0" customHeight="1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ht="12.0" customHeight="1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ht="12.0" customHeight="1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ht="12.0" customHeight="1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ht="12.0" customHeight="1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ht="12.0" customHeight="1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ht="12.0" customHeight="1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ht="12.0" customHeight="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ht="12.0" customHeight="1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ht="12.0" customHeight="1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ht="12.0" customHeight="1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ht="12.0" customHeight="1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ht="12.0" customHeight="1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ht="12.0" customHeight="1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ht="12.0" customHeight="1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ht="12.0" customHeight="1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ht="12.0" customHeight="1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ht="12.0" customHeight="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ht="12.0" customHeight="1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ht="12.0" customHeight="1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ht="12.0" customHeight="1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ht="12.0" customHeight="1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ht="12.0" customHeight="1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ht="12.0" customHeight="1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ht="12.0" customHeight="1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ht="12.0" customHeight="1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ht="12.0" customHeight="1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ht="12.0" customHeight="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ht="12.0" customHeight="1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ht="12.0" customHeight="1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ht="12.0" customHeight="1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ht="12.0" customHeight="1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ht="12.0" customHeight="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ht="12.0" customHeight="1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ht="12.0" customHeight="1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ht="12.0" customHeight="1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ht="12.0" customHeight="1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ht="12.0" customHeight="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ht="12.0" customHeight="1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ht="12.0" customHeight="1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ht="12.0" customHeight="1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ht="12.0" customHeight="1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ht="12.0" customHeight="1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ht="12.0" customHeight="1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ht="12.0" customHeight="1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ht="12.0" customHeight="1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ht="12.0" customHeight="1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ht="12.0" customHeight="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ht="12.0" customHeight="1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ht="12.0" customHeight="1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ht="12.0" customHeight="1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ht="12.0" customHeight="1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ht="12.0" customHeight="1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ht="12.0" customHeight="1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ht="12.0" customHeight="1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ht="12.0" customHeight="1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ht="12.0" customHeight="1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ht="12.0" customHeight="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ht="12.0" customHeight="1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ht="12.0" customHeight="1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ht="12.0" customHeight="1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ht="12.0" customHeight="1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ht="12.0" customHeight="1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ht="12.0" customHeight="1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ht="12.0" customHeight="1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ht="12.0" customHeight="1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ht="12.0" customHeight="1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ht="12.0" customHeight="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ht="12.0" customHeight="1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ht="12.0" customHeight="1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ht="12.0" customHeight="1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ht="12.0" customHeight="1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ht="12.0" customHeight="1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ht="12.0" customHeight="1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ht="12.0" customHeight="1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ht="12.0" customHeight="1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ht="12.0" customHeight="1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ht="12.0" customHeight="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ht="12.0" customHeight="1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ht="12.0" customHeight="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ht="12.0" customHeight="1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ht="12.0" customHeight="1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ht="12.0" customHeight="1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ht="12.0" customHeight="1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ht="12.0" customHeight="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ht="12.0" customHeight="1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ht="12.0" customHeight="1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ht="12.0" customHeight="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ht="12.0" customHeight="1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ht="12.0" customHeight="1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ht="12.0" customHeight="1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ht="12.0" customHeight="1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ht="12.0" customHeight="1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ht="12.0" customHeight="1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ht="12.0" customHeight="1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ht="12.0" customHeight="1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ht="12.0" customHeight="1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ht="12.0" customHeight="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ht="12.0" customHeight="1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ht="12.0" customHeight="1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ht="12.0" customHeight="1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ht="12.0" customHeight="1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ht="12.0" customHeight="1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ht="12.0" customHeight="1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ht="12.0" customHeight="1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ht="12.0" customHeight="1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ht="12.0" customHeight="1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ht="12.0" customHeight="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ht="12.0" customHeight="1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ht="12.0" customHeight="1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ht="12.0" customHeight="1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ht="12.0" customHeight="1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ht="12.0" customHeight="1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ht="12.0" customHeight="1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ht="12.0" customHeight="1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ht="12.0" customHeight="1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ht="12.0" customHeight="1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ht="12.0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ht="12.0" customHeight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ht="12.0" customHeight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ht="12.0" customHeight="1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ht="12.0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ht="12.0" customHeight="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ht="12.0" customHeight="1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ht="12.0" customHeight="1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ht="12.0" customHeight="1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ht="12.0" customHeight="1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ht="12.0" customHeight="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ht="12.0" customHeight="1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ht="12.0" customHeight="1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ht="12.0" customHeight="1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ht="12.0" customHeight="1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ht="12.0" customHeight="1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ht="12.0" customHeight="1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ht="12.0" customHeight="1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ht="12.0" customHeight="1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ht="12.0" customHeight="1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ht="12.0" customHeight="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ht="12.0" customHeight="1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ht="12.0" customHeight="1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ht="12.0" customHeight="1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ht="12.0" customHeight="1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ht="12.0" customHeight="1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ht="12.0" customHeight="1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ht="12.0" customHeight="1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ht="12.0" customHeight="1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ht="12.0" customHeight="1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ht="12.0" customHeight="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ht="12.0" customHeight="1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ht="12.0" customHeight="1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ht="12.0" customHeight="1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ht="12.0" customHeight="1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ht="12.0" customHeight="1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ht="12.0" customHeight="1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ht="12.0" customHeight="1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ht="12.0" customHeight="1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ht="12.0" customHeight="1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ht="12.0" customHeight="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ht="12.0" customHeight="1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ht="12.0" customHeight="1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ht="12.0" customHeight="1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ht="12.0" customHeight="1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ht="12.0" customHeight="1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ht="12.0" customHeight="1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ht="12.0" customHeight="1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ht="12.0" customHeight="1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ht="12.0" customHeight="1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ht="12.0" customHeight="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ht="12.0" customHeight="1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ht="12.0" customHeight="1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ht="12.0" customHeight="1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ht="12.0" customHeight="1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ht="12.0" customHeight="1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ht="12.0" customHeight="1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ht="12.0" customHeight="1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ht="12.0" customHeight="1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ht="12.0" customHeight="1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ht="12.0" customHeight="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ht="12.0" customHeight="1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ht="12.0" customHeight="1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ht="12.0" customHeight="1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ht="12.0" customHeight="1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ht="12.0" customHeight="1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ht="12.0" customHeight="1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ht="12.0" customHeight="1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ht="12.0" customHeight="1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ht="12.0" customHeight="1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ht="12.0" customHeight="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ht="12.0" customHeight="1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ht="12.0" customHeight="1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ht="12.0" customHeight="1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ht="12.0" customHeight="1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ht="12.0" customHeight="1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ht="12.0" customHeight="1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ht="12.0" customHeight="1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ht="12.0" customHeight="1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ht="12.0" customHeight="1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ht="12.0" customHeight="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ht="12.0" customHeight="1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ht="12.0" customHeight="1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ht="12.0" customHeight="1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ht="12.0" customHeight="1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ht="12.0" customHeight="1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ht="12.0" customHeight="1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ht="12.0" customHeight="1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ht="12.0" customHeight="1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ht="12.0" customHeight="1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ht="12.0" customHeight="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ht="12.0" customHeight="1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ht="12.0" customHeight="1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ht="12.0" customHeight="1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ht="12.0" customHeight="1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ht="12.0" customHeight="1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ht="12.0" customHeight="1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ht="12.0" customHeight="1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ht="12.0" customHeight="1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ht="12.0" customHeight="1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ht="12.0" customHeight="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ht="12.0" customHeight="1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ht="12.0" customHeight="1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ht="12.0" customHeight="1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ht="12.0" customHeight="1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ht="12.0" customHeight="1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ht="12.0" customHeight="1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ht="12.0" customHeight="1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ht="12.0" customHeight="1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ht="12.0" customHeight="1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ht="12.0" customHeight="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ht="12.0" customHeight="1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ht="12.0" customHeight="1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ht="12.0" customHeight="1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ht="12.0" customHeight="1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ht="12.0" customHeight="1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ht="12.0" customHeight="1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ht="12.0" customHeight="1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ht="12.0" customHeight="1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ht="12.0" customHeight="1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ht="12.0" customHeight="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ht="12.0" customHeight="1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ht="12.0" customHeight="1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ht="12.0" customHeight="1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ht="12.0" customHeight="1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ht="12.0" customHeight="1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ht="12.0" customHeight="1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ht="12.0" customHeight="1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ht="12.0" customHeight="1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ht="12.0" customHeight="1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ht="12.0" customHeight="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ht="12.0" customHeight="1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ht="12.0" customHeight="1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ht="12.0" customHeight="1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ht="12.0" customHeight="1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ht="12.0" customHeight="1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ht="12.0" customHeight="1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ht="12.0" customHeight="1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ht="12.0" customHeight="1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ht="12.0" customHeight="1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ht="12.0" customHeight="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ht="12.0" customHeight="1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ht="12.0" customHeight="1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ht="12.0" customHeight="1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ht="12.0" customHeight="1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ht="12.0" customHeight="1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ht="12.0" customHeight="1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ht="12.0" customHeight="1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ht="12.0" customHeight="1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ht="12.0" customHeight="1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mergeCells count="6">
    <mergeCell ref="A3:A4"/>
    <mergeCell ref="B3:C3"/>
    <mergeCell ref="D3:E3"/>
    <mergeCell ref="F3:G3"/>
    <mergeCell ref="H3:I3"/>
    <mergeCell ref="J3:K3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2012-05-25T07:48:16Z</dcterms:created>
  <dc:creator>ndivhuwog</dc:creator>
</cp:coreProperties>
</file>